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Dashboard_Sawit\"/>
    </mc:Choice>
  </mc:AlternateContent>
  <xr:revisionPtr revIDLastSave="0" documentId="13_ncr:1_{01636AFD-60DB-4F92-A93D-F2D93DE8861B}" xr6:coauthVersionLast="47" xr6:coauthVersionMax="47" xr10:uidLastSave="{00000000-0000-0000-0000-000000000000}"/>
  <bookViews>
    <workbookView xWindow="-120" yWindow="-120" windowWidth="20730" windowHeight="11310" activeTab="4" xr2:uid="{83D5A4A0-CCFD-49EF-AE72-E045BFE56B8D}"/>
  </bookViews>
  <sheets>
    <sheet name="tbs" sheetId="3" r:id="rId1"/>
    <sheet name="tonase" sheetId="6" r:id="rId2"/>
    <sheet name="yph" sheetId="2" r:id="rId3"/>
    <sheet name="brondol" sheetId="4" r:id="rId4"/>
    <sheet name="bjr" sheetId="5" r:id="rId5"/>
  </sheets>
  <definedNames>
    <definedName name="_xlnm.Print_Titles" localSheetId="4">bjr!$B:$D,bjr!$1:$1</definedName>
    <definedName name="_xlnm.Print_Titles" localSheetId="3">brondol!$B:$D,brondol!$1:$1</definedName>
    <definedName name="_xlnm.Print_Titles" localSheetId="0">tbs!$B:$D,tbs!$1:$1</definedName>
    <definedName name="_xlnm.Print_Titles" localSheetId="1">tonase!$B:$D,tonase!$1:$1</definedName>
    <definedName name="_xlnm.Print_Titles" localSheetId="2">yph!$B:$D,yph!$1:$1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" i="4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" i="2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" i="6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" i="3"/>
  <c r="F287" i="3"/>
  <c r="F288" i="3" s="1"/>
  <c r="J286" i="3"/>
</calcChain>
</file>

<file path=xl/sharedStrings.xml><?xml version="1.0" encoding="utf-8"?>
<sst xmlns="http://schemas.openxmlformats.org/spreadsheetml/2006/main" count="4244" uniqueCount="565">
  <si>
    <t>AFD</t>
  </si>
  <si>
    <t>NO BLOCK</t>
  </si>
  <si>
    <t>BLOK</t>
  </si>
  <si>
    <t>HA</t>
  </si>
  <si>
    <t>TAHUN TANAM</t>
  </si>
  <si>
    <t>TOTAL</t>
  </si>
  <si>
    <t>A</t>
  </si>
  <si>
    <t>001</t>
  </si>
  <si>
    <t>KD</t>
  </si>
  <si>
    <t>002</t>
  </si>
  <si>
    <t>A18</t>
  </si>
  <si>
    <t>003</t>
  </si>
  <si>
    <t>A17</t>
  </si>
  <si>
    <t>004</t>
  </si>
  <si>
    <t>A16</t>
  </si>
  <si>
    <t>005</t>
  </si>
  <si>
    <t>A15</t>
  </si>
  <si>
    <t>006</t>
  </si>
  <si>
    <t>A14</t>
  </si>
  <si>
    <t>007</t>
  </si>
  <si>
    <t>AA3</t>
  </si>
  <si>
    <t>008</t>
  </si>
  <si>
    <t>M3</t>
  </si>
  <si>
    <t>009</t>
  </si>
  <si>
    <t>AA2</t>
  </si>
  <si>
    <t>010</t>
  </si>
  <si>
    <t>M2</t>
  </si>
  <si>
    <t>011</t>
  </si>
  <si>
    <t>AA1</t>
  </si>
  <si>
    <t>012</t>
  </si>
  <si>
    <t>M1</t>
  </si>
  <si>
    <t>013</t>
  </si>
  <si>
    <t>A20</t>
  </si>
  <si>
    <t>014</t>
  </si>
  <si>
    <t>A11</t>
  </si>
  <si>
    <t>015</t>
  </si>
  <si>
    <t>A12</t>
  </si>
  <si>
    <t>016</t>
  </si>
  <si>
    <t>A13</t>
  </si>
  <si>
    <t>017</t>
  </si>
  <si>
    <t>A19</t>
  </si>
  <si>
    <t>018</t>
  </si>
  <si>
    <t>AA4</t>
  </si>
  <si>
    <t>019</t>
  </si>
  <si>
    <t>B11</t>
  </si>
  <si>
    <t>020</t>
  </si>
  <si>
    <t>B12</t>
  </si>
  <si>
    <t>021</t>
  </si>
  <si>
    <t>B13</t>
  </si>
  <si>
    <t>022</t>
  </si>
  <si>
    <t>B14</t>
  </si>
  <si>
    <t>023</t>
  </si>
  <si>
    <t>B15</t>
  </si>
  <si>
    <t>024</t>
  </si>
  <si>
    <t>B16</t>
  </si>
  <si>
    <t>025</t>
  </si>
  <si>
    <t>B17</t>
  </si>
  <si>
    <t>026</t>
  </si>
  <si>
    <t>B18</t>
  </si>
  <si>
    <t>027</t>
  </si>
  <si>
    <t>B19</t>
  </si>
  <si>
    <t>028</t>
  </si>
  <si>
    <t>B20</t>
  </si>
  <si>
    <t>029</t>
  </si>
  <si>
    <t>b10</t>
  </si>
  <si>
    <t>030</t>
  </si>
  <si>
    <t>B9</t>
  </si>
  <si>
    <t>032</t>
  </si>
  <si>
    <t>A21</t>
  </si>
  <si>
    <t>033</t>
  </si>
  <si>
    <t>A22</t>
  </si>
  <si>
    <t>044</t>
  </si>
  <si>
    <t>B21</t>
  </si>
  <si>
    <t>045</t>
  </si>
  <si>
    <t>B22</t>
  </si>
  <si>
    <t>034</t>
  </si>
  <si>
    <t>A23</t>
  </si>
  <si>
    <t>035</t>
  </si>
  <si>
    <t>A24</t>
  </si>
  <si>
    <t>036</t>
  </si>
  <si>
    <t>A25</t>
  </si>
  <si>
    <t>037</t>
  </si>
  <si>
    <t>A26</t>
  </si>
  <si>
    <t>046</t>
  </si>
  <si>
    <t>B23</t>
  </si>
  <si>
    <t>047</t>
  </si>
  <si>
    <t>B24</t>
  </si>
  <si>
    <t>048</t>
  </si>
  <si>
    <t>B25</t>
  </si>
  <si>
    <t>B</t>
  </si>
  <si>
    <t>067</t>
  </si>
  <si>
    <t>C4</t>
  </si>
  <si>
    <t>068</t>
  </si>
  <si>
    <t>C5</t>
  </si>
  <si>
    <t>069</t>
  </si>
  <si>
    <t>C6</t>
  </si>
  <si>
    <t>070</t>
  </si>
  <si>
    <t>C7</t>
  </si>
  <si>
    <t>071</t>
  </si>
  <si>
    <t>C8</t>
  </si>
  <si>
    <t>072</t>
  </si>
  <si>
    <t>C9</t>
  </si>
  <si>
    <t>073</t>
  </si>
  <si>
    <t>C10</t>
  </si>
  <si>
    <t>074</t>
  </si>
  <si>
    <t>C11</t>
  </si>
  <si>
    <t>075</t>
  </si>
  <si>
    <t>C12</t>
  </si>
  <si>
    <t>076</t>
  </si>
  <si>
    <t>D11</t>
  </si>
  <si>
    <t>077</t>
  </si>
  <si>
    <t>D13</t>
  </si>
  <si>
    <t>078</t>
  </si>
  <si>
    <t>D14 B</t>
  </si>
  <si>
    <t>079</t>
  </si>
  <si>
    <t>D14 A</t>
  </si>
  <si>
    <t>080</t>
  </si>
  <si>
    <t>D15</t>
  </si>
  <si>
    <t>081</t>
  </si>
  <si>
    <t>D16 B</t>
  </si>
  <si>
    <t>082</t>
  </si>
  <si>
    <t>D16 A</t>
  </si>
  <si>
    <t>083</t>
  </si>
  <si>
    <t>D17 B</t>
  </si>
  <si>
    <t>084</t>
  </si>
  <si>
    <t>D17 A</t>
  </si>
  <si>
    <t>085</t>
  </si>
  <si>
    <t>D18 B</t>
  </si>
  <si>
    <t>086</t>
  </si>
  <si>
    <t>D18 A</t>
  </si>
  <si>
    <t>087</t>
  </si>
  <si>
    <t>D19</t>
  </si>
  <si>
    <t>088</t>
  </si>
  <si>
    <t>D20</t>
  </si>
  <si>
    <t>089</t>
  </si>
  <si>
    <t>D21</t>
  </si>
  <si>
    <t>090</t>
  </si>
  <si>
    <t>D22</t>
  </si>
  <si>
    <t>091</t>
  </si>
  <si>
    <t>D23 A</t>
  </si>
  <si>
    <t>092</t>
  </si>
  <si>
    <t>D23 B</t>
  </si>
  <si>
    <t>093</t>
  </si>
  <si>
    <t>E8</t>
  </si>
  <si>
    <t>094</t>
  </si>
  <si>
    <t>E9</t>
  </si>
  <si>
    <t>095</t>
  </si>
  <si>
    <t>E10</t>
  </si>
  <si>
    <t>096</t>
  </si>
  <si>
    <t>E11</t>
  </si>
  <si>
    <t>097</t>
  </si>
  <si>
    <t>E12</t>
  </si>
  <si>
    <t>098</t>
  </si>
  <si>
    <t>E13</t>
  </si>
  <si>
    <t>099</t>
  </si>
  <si>
    <t>E14</t>
  </si>
  <si>
    <t>100</t>
  </si>
  <si>
    <t>E15</t>
  </si>
  <si>
    <t>101</t>
  </si>
  <si>
    <t>E16</t>
  </si>
  <si>
    <t>102</t>
  </si>
  <si>
    <t>E17</t>
  </si>
  <si>
    <t>103</t>
  </si>
  <si>
    <t>E18</t>
  </si>
  <si>
    <t>104</t>
  </si>
  <si>
    <t>E19</t>
  </si>
  <si>
    <t>105</t>
  </si>
  <si>
    <t>E20</t>
  </si>
  <si>
    <t>106</t>
  </si>
  <si>
    <t>E.21</t>
  </si>
  <si>
    <t>107</t>
  </si>
  <si>
    <t>E.22</t>
  </si>
  <si>
    <t>108</t>
  </si>
  <si>
    <t>E.23</t>
  </si>
  <si>
    <t>170</t>
  </si>
  <si>
    <t>E6</t>
  </si>
  <si>
    <t>171</t>
  </si>
  <si>
    <t>E7</t>
  </si>
  <si>
    <t>174</t>
  </si>
  <si>
    <t xml:space="preserve"> F 15</t>
  </si>
  <si>
    <t>175</t>
  </si>
  <si>
    <t>F 16</t>
  </si>
  <si>
    <t>176</t>
  </si>
  <si>
    <t>F 17</t>
  </si>
  <si>
    <t>177</t>
  </si>
  <si>
    <t>F 18</t>
  </si>
  <si>
    <t>178</t>
  </si>
  <si>
    <t xml:space="preserve"> F 19</t>
  </si>
  <si>
    <t>179</t>
  </si>
  <si>
    <t xml:space="preserve"> F 20</t>
  </si>
  <si>
    <t>180</t>
  </si>
  <si>
    <t>F 21</t>
  </si>
  <si>
    <t>181</t>
  </si>
  <si>
    <t>F 22</t>
  </si>
  <si>
    <t>182</t>
  </si>
  <si>
    <t>F 23</t>
  </si>
  <si>
    <t>D12</t>
  </si>
  <si>
    <t>D12B</t>
  </si>
  <si>
    <t>109</t>
  </si>
  <si>
    <t>C13</t>
  </si>
  <si>
    <t>118</t>
  </si>
  <si>
    <t>D24</t>
  </si>
  <si>
    <t>130</t>
  </si>
  <si>
    <t>E.24</t>
  </si>
  <si>
    <t>183</t>
  </si>
  <si>
    <t>F 24</t>
  </si>
  <si>
    <t>C</t>
  </si>
  <si>
    <t>154</t>
  </si>
  <si>
    <t>D.34</t>
  </si>
  <si>
    <t>155</t>
  </si>
  <si>
    <t>D.35</t>
  </si>
  <si>
    <t>156</t>
  </si>
  <si>
    <t>D.36</t>
  </si>
  <si>
    <t>157</t>
  </si>
  <si>
    <t>D.37</t>
  </si>
  <si>
    <t>172</t>
  </si>
  <si>
    <t>E.34</t>
  </si>
  <si>
    <t>173</t>
  </si>
  <si>
    <t>E.35</t>
  </si>
  <si>
    <t>158</t>
  </si>
  <si>
    <t>D.38</t>
  </si>
  <si>
    <t>159</t>
  </si>
  <si>
    <t>D.39</t>
  </si>
  <si>
    <t>110</t>
  </si>
  <si>
    <t>C14</t>
  </si>
  <si>
    <t>111</t>
  </si>
  <si>
    <t>C15</t>
  </si>
  <si>
    <t>112</t>
  </si>
  <si>
    <t>C16</t>
  </si>
  <si>
    <t>113</t>
  </si>
  <si>
    <t>C17</t>
  </si>
  <si>
    <t>114</t>
  </si>
  <si>
    <t>C18</t>
  </si>
  <si>
    <t>115</t>
  </si>
  <si>
    <t>C19</t>
  </si>
  <si>
    <t>116</t>
  </si>
  <si>
    <t>C20</t>
  </si>
  <si>
    <t>117</t>
  </si>
  <si>
    <t>C.21</t>
  </si>
  <si>
    <t>119</t>
  </si>
  <si>
    <t>D25 A</t>
  </si>
  <si>
    <t>120</t>
  </si>
  <si>
    <t>D25 B</t>
  </si>
  <si>
    <t>121</t>
  </si>
  <si>
    <t>D26 A</t>
  </si>
  <si>
    <t>122</t>
  </si>
  <si>
    <t>D26 B</t>
  </si>
  <si>
    <t>123</t>
  </si>
  <si>
    <t>D27</t>
  </si>
  <si>
    <t>124</t>
  </si>
  <si>
    <t>D28</t>
  </si>
  <si>
    <t>125</t>
  </si>
  <si>
    <t>D29</t>
  </si>
  <si>
    <t>126</t>
  </si>
  <si>
    <t>D30</t>
  </si>
  <si>
    <t>127</t>
  </si>
  <si>
    <t>D31</t>
  </si>
  <si>
    <t>128</t>
  </si>
  <si>
    <t>D32</t>
  </si>
  <si>
    <t>129</t>
  </si>
  <si>
    <t>D33</t>
  </si>
  <si>
    <t>131</t>
  </si>
  <si>
    <t>E.25</t>
  </si>
  <si>
    <t>132</t>
  </si>
  <si>
    <t>E.26</t>
  </si>
  <si>
    <t>133</t>
  </si>
  <si>
    <t>E.27</t>
  </si>
  <si>
    <t>134</t>
  </si>
  <si>
    <t>E28</t>
  </si>
  <si>
    <t>135</t>
  </si>
  <si>
    <t>136</t>
  </si>
  <si>
    <t>E.29</t>
  </si>
  <si>
    <t>137</t>
  </si>
  <si>
    <t>E.30</t>
  </si>
  <si>
    <t>138</t>
  </si>
  <si>
    <t>E31</t>
  </si>
  <si>
    <t>139</t>
  </si>
  <si>
    <t>E32</t>
  </si>
  <si>
    <t>140</t>
  </si>
  <si>
    <t>E.33</t>
  </si>
  <si>
    <t>144</t>
  </si>
  <si>
    <t>F29 A</t>
  </si>
  <si>
    <t>145</t>
  </si>
  <si>
    <t>F 29 B</t>
  </si>
  <si>
    <t>184</t>
  </si>
  <si>
    <t>F 25</t>
  </si>
  <si>
    <t>185</t>
  </si>
  <si>
    <t>F 26</t>
  </si>
  <si>
    <t>186</t>
  </si>
  <si>
    <t>F 27</t>
  </si>
  <si>
    <t>187</t>
  </si>
  <si>
    <t>F 28</t>
  </si>
  <si>
    <t>188</t>
  </si>
  <si>
    <t>F 30</t>
  </si>
  <si>
    <t>189</t>
  </si>
  <si>
    <t>F 31</t>
  </si>
  <si>
    <t>190</t>
  </si>
  <si>
    <t>F 32</t>
  </si>
  <si>
    <t>244</t>
  </si>
  <si>
    <t>E29</t>
  </si>
  <si>
    <t>D</t>
  </si>
  <si>
    <t>031</t>
  </si>
  <si>
    <t>KD1</t>
  </si>
  <si>
    <t>038</t>
  </si>
  <si>
    <t>A27</t>
  </si>
  <si>
    <t>039</t>
  </si>
  <si>
    <t>A28</t>
  </si>
  <si>
    <t>040</t>
  </si>
  <si>
    <t>A29</t>
  </si>
  <si>
    <t>041</t>
  </si>
  <si>
    <t>A30</t>
  </si>
  <si>
    <t>049</t>
  </si>
  <si>
    <t>B26</t>
  </si>
  <si>
    <t>050</t>
  </si>
  <si>
    <t>B27</t>
  </si>
  <si>
    <t>051</t>
  </si>
  <si>
    <t>B28</t>
  </si>
  <si>
    <t>052</t>
  </si>
  <si>
    <t>B29</t>
  </si>
  <si>
    <t>059</t>
  </si>
  <si>
    <t>C28</t>
  </si>
  <si>
    <t>060</t>
  </si>
  <si>
    <t>C29</t>
  </si>
  <si>
    <t>064</t>
  </si>
  <si>
    <t>kd DUNGUN</t>
  </si>
  <si>
    <t>146</t>
  </si>
  <si>
    <t>C22</t>
  </si>
  <si>
    <t>147</t>
  </si>
  <si>
    <t>C.23</t>
  </si>
  <si>
    <t>148</t>
  </si>
  <si>
    <t>C.24</t>
  </si>
  <si>
    <t>149</t>
  </si>
  <si>
    <t>C.25</t>
  </si>
  <si>
    <t>150</t>
  </si>
  <si>
    <t>C.26</t>
  </si>
  <si>
    <t>042</t>
  </si>
  <si>
    <t>A31</t>
  </si>
  <si>
    <t>043</t>
  </si>
  <si>
    <t>A32</t>
  </si>
  <si>
    <t>053</t>
  </si>
  <si>
    <t>B30</t>
  </si>
  <si>
    <t>054</t>
  </si>
  <si>
    <t>B32</t>
  </si>
  <si>
    <t>055</t>
  </si>
  <si>
    <t>B31</t>
  </si>
  <si>
    <t>056</t>
  </si>
  <si>
    <t>B33</t>
  </si>
  <si>
    <t>057</t>
  </si>
  <si>
    <t>B34</t>
  </si>
  <si>
    <t>058</t>
  </si>
  <si>
    <t>B35</t>
  </si>
  <si>
    <t>061</t>
  </si>
  <si>
    <t>C30</t>
  </si>
  <si>
    <t>062</t>
  </si>
  <si>
    <t>C32 A</t>
  </si>
  <si>
    <t>063</t>
  </si>
  <si>
    <t>C32 B</t>
  </si>
  <si>
    <t>065</t>
  </si>
  <si>
    <t>C31 A</t>
  </si>
  <si>
    <t>066</t>
  </si>
  <si>
    <t>C31 B</t>
  </si>
  <si>
    <t>141</t>
  </si>
  <si>
    <t>C33</t>
  </si>
  <si>
    <t>142</t>
  </si>
  <si>
    <t>C34</t>
  </si>
  <si>
    <t>143</t>
  </si>
  <si>
    <t>C35</t>
  </si>
  <si>
    <t>151</t>
  </si>
  <si>
    <t>C36</t>
  </si>
  <si>
    <t>160</t>
  </si>
  <si>
    <t>D41</t>
  </si>
  <si>
    <t>161</t>
  </si>
  <si>
    <t>D42</t>
  </si>
  <si>
    <t>162</t>
  </si>
  <si>
    <t>D43</t>
  </si>
  <si>
    <t>163</t>
  </si>
  <si>
    <t>D44</t>
  </si>
  <si>
    <t>164</t>
  </si>
  <si>
    <t>D45</t>
  </si>
  <si>
    <t>165</t>
  </si>
  <si>
    <t>D46</t>
  </si>
  <si>
    <t>166</t>
  </si>
  <si>
    <t>D47</t>
  </si>
  <si>
    <t>C37</t>
  </si>
  <si>
    <t>C31C</t>
  </si>
  <si>
    <t>E</t>
  </si>
  <si>
    <t>167</t>
  </si>
  <si>
    <t>D48</t>
  </si>
  <si>
    <t>168</t>
  </si>
  <si>
    <t>D49</t>
  </si>
  <si>
    <t>169</t>
  </si>
  <si>
    <t>D50</t>
  </si>
  <si>
    <t>191</t>
  </si>
  <si>
    <t>D51</t>
  </si>
  <si>
    <t>395</t>
  </si>
  <si>
    <t>C38</t>
  </si>
  <si>
    <t>229</t>
  </si>
  <si>
    <t>C39</t>
  </si>
  <si>
    <t>218</t>
  </si>
  <si>
    <t>E47</t>
  </si>
  <si>
    <t>219</t>
  </si>
  <si>
    <t>E48</t>
  </si>
  <si>
    <t>220</t>
  </si>
  <si>
    <t>E49</t>
  </si>
  <si>
    <t>221</t>
  </si>
  <si>
    <t>E50</t>
  </si>
  <si>
    <t>222</t>
  </si>
  <si>
    <t>E51</t>
  </si>
  <si>
    <t>192</t>
  </si>
  <si>
    <t>D52</t>
  </si>
  <si>
    <t>196</t>
  </si>
  <si>
    <t>C41</t>
  </si>
  <si>
    <t>197</t>
  </si>
  <si>
    <t>C42</t>
  </si>
  <si>
    <t>198</t>
  </si>
  <si>
    <t>C43</t>
  </si>
  <si>
    <t>199</t>
  </si>
  <si>
    <t>D53</t>
  </si>
  <si>
    <t>200</t>
  </si>
  <si>
    <t>D54</t>
  </si>
  <si>
    <t>201</t>
  </si>
  <si>
    <t>D55</t>
  </si>
  <si>
    <t>202</t>
  </si>
  <si>
    <t>D56</t>
  </si>
  <si>
    <t>203</t>
  </si>
  <si>
    <t>D57</t>
  </si>
  <si>
    <t>204</t>
  </si>
  <si>
    <t>D58</t>
  </si>
  <si>
    <t>205</t>
  </si>
  <si>
    <t>D59</t>
  </si>
  <si>
    <t>206</t>
  </si>
  <si>
    <t>E60</t>
  </si>
  <si>
    <t>207</t>
  </si>
  <si>
    <t>E62</t>
  </si>
  <si>
    <t>208</t>
  </si>
  <si>
    <t>D60</t>
  </si>
  <si>
    <t>209</t>
  </si>
  <si>
    <t>E57</t>
  </si>
  <si>
    <t>210</t>
  </si>
  <si>
    <t>E58</t>
  </si>
  <si>
    <t>211</t>
  </si>
  <si>
    <t>E59</t>
  </si>
  <si>
    <t>212</t>
  </si>
  <si>
    <t>E61</t>
  </si>
  <si>
    <t>213</t>
  </si>
  <si>
    <t>E63</t>
  </si>
  <si>
    <t>214</t>
  </si>
  <si>
    <t>E64</t>
  </si>
  <si>
    <t>215</t>
  </si>
  <si>
    <t>E65</t>
  </si>
  <si>
    <t>216</t>
  </si>
  <si>
    <t>E66</t>
  </si>
  <si>
    <t>217</t>
  </si>
  <si>
    <t>E67</t>
  </si>
  <si>
    <t>223</t>
  </si>
  <si>
    <t>E52</t>
  </si>
  <si>
    <t>224</t>
  </si>
  <si>
    <t>E53</t>
  </si>
  <si>
    <t>225</t>
  </si>
  <si>
    <t>E54</t>
  </si>
  <si>
    <t>226</t>
  </si>
  <si>
    <t>E55</t>
  </si>
  <si>
    <t>227</t>
  </si>
  <si>
    <t>E56</t>
  </si>
  <si>
    <t>228</t>
  </si>
  <si>
    <t>C40</t>
  </si>
  <si>
    <t>230</t>
  </si>
  <si>
    <t>F53</t>
  </si>
  <si>
    <t>231</t>
  </si>
  <si>
    <t>F54</t>
  </si>
  <si>
    <t>232</t>
  </si>
  <si>
    <t>F55</t>
  </si>
  <si>
    <t>233</t>
  </si>
  <si>
    <t>F56</t>
  </si>
  <si>
    <t>234</t>
  </si>
  <si>
    <t>F57</t>
  </si>
  <si>
    <t>235</t>
  </si>
  <si>
    <t>F58</t>
  </si>
  <si>
    <t>236</t>
  </si>
  <si>
    <t>F59</t>
  </si>
  <si>
    <t>237</t>
  </si>
  <si>
    <t>F60</t>
  </si>
  <si>
    <t>238</t>
  </si>
  <si>
    <t>F61</t>
  </si>
  <si>
    <t>239</t>
  </si>
  <si>
    <t>F62</t>
  </si>
  <si>
    <t>241</t>
  </si>
  <si>
    <t>D61</t>
  </si>
  <si>
    <t>259</t>
  </si>
  <si>
    <t>359</t>
  </si>
  <si>
    <t>338</t>
  </si>
  <si>
    <t>260</t>
  </si>
  <si>
    <t>F</t>
  </si>
  <si>
    <t>251</t>
  </si>
  <si>
    <t>F51</t>
  </si>
  <si>
    <t>252</t>
  </si>
  <si>
    <t>F52</t>
  </si>
  <si>
    <t>263</t>
  </si>
  <si>
    <t>F63</t>
  </si>
  <si>
    <t>264</t>
  </si>
  <si>
    <t>F64</t>
  </si>
  <si>
    <t>265</t>
  </si>
  <si>
    <t>F65</t>
  </si>
  <si>
    <t>266</t>
  </si>
  <si>
    <t>F66</t>
  </si>
  <si>
    <t>267</t>
  </si>
  <si>
    <t>F67</t>
  </si>
  <si>
    <t>268</t>
  </si>
  <si>
    <t>F68</t>
  </si>
  <si>
    <t>269</t>
  </si>
  <si>
    <t>F69</t>
  </si>
  <si>
    <t>270</t>
  </si>
  <si>
    <t>F70</t>
  </si>
  <si>
    <t>271</t>
  </si>
  <si>
    <t>F71</t>
  </si>
  <si>
    <t>272</t>
  </si>
  <si>
    <t>F72</t>
  </si>
  <si>
    <t>273</t>
  </si>
  <si>
    <t>F73</t>
  </si>
  <si>
    <t>352</t>
  </si>
  <si>
    <t>G52</t>
  </si>
  <si>
    <t>253</t>
  </si>
  <si>
    <t>G53</t>
  </si>
  <si>
    <t>254</t>
  </si>
  <si>
    <t>G54</t>
  </si>
  <si>
    <t>255</t>
  </si>
  <si>
    <t>G55</t>
  </si>
  <si>
    <t>256</t>
  </si>
  <si>
    <t>G56</t>
  </si>
  <si>
    <t>257</t>
  </si>
  <si>
    <t>G57</t>
  </si>
  <si>
    <t>258</t>
  </si>
  <si>
    <t>G58</t>
  </si>
  <si>
    <t>459</t>
  </si>
  <si>
    <t>G59</t>
  </si>
  <si>
    <t>360</t>
  </si>
  <si>
    <t>G60</t>
  </si>
  <si>
    <t>261</t>
  </si>
  <si>
    <t>G61</t>
  </si>
  <si>
    <t>262</t>
  </si>
  <si>
    <t>G62</t>
  </si>
  <si>
    <t>363</t>
  </si>
  <si>
    <t>G63</t>
  </si>
  <si>
    <t>364</t>
  </si>
  <si>
    <t>G64</t>
  </si>
  <si>
    <t>365</t>
  </si>
  <si>
    <t>G65</t>
  </si>
  <si>
    <t>366</t>
  </si>
  <si>
    <t>G66</t>
  </si>
  <si>
    <t>367</t>
  </si>
  <si>
    <t>G67</t>
  </si>
  <si>
    <t>368</t>
  </si>
  <si>
    <t>G68</t>
  </si>
  <si>
    <t>369</t>
  </si>
  <si>
    <t>G69</t>
  </si>
  <si>
    <t>370</t>
  </si>
  <si>
    <t>G70</t>
  </si>
  <si>
    <t>371</t>
  </si>
  <si>
    <t>G71</t>
  </si>
  <si>
    <t>372</t>
  </si>
  <si>
    <t>G72</t>
  </si>
  <si>
    <t>373</t>
  </si>
  <si>
    <t>G73</t>
  </si>
  <si>
    <t>362</t>
  </si>
  <si>
    <t>H62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</si>
</sst>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yyyy"/>
    <numFmt numFmtId="165" formatCode="mmmm\ yyyy"/>
    <numFmt numFmtId="166" formatCode="_(* #,##0.00_);_(* \(#,##0.00\);_(* &quot;-&quot;_);_(@_)"/>
    <numFmt numFmtId="167" formatCode="mmm\ yyyy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ptos Display"/>
      <family val="2"/>
    </font>
    <font>
      <b/>
      <sz val="11"/>
      <color theme="1"/>
      <name val="Aptos Display"/>
      <family val="2"/>
    </font>
    <font>
      <sz val="11"/>
      <name val="Aptos Display"/>
      <family val="2"/>
    </font>
    <font>
      <sz val="12"/>
      <name val="宋体"/>
    </font>
    <font>
      <sz val="11"/>
      <color rgb="FF001132"/>
      <name val="Aptos Display"/>
      <family val="2"/>
    </font>
    <font>
      <sz val="11"/>
      <color indexed="8"/>
      <name val="Calibri"/>
      <family val="2"/>
      <charset val="1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41" fontId="2" fillId="0" borderId="0" applyFont="0" applyFill="0" applyBorder="0" applyAlignment="0" applyProtection="0"/>
    <xf numFmtId="0" fontId="6" fillId="0" borderId="0">
      <alignment vertical="center"/>
    </xf>
    <xf numFmtId="9" fontId="2" fillId="0" borderId="0" applyFont="0" applyFill="0" applyBorder="0" applyAlignment="0" applyProtection="0"/>
    <xf numFmtId="0" fontId="8" fillId="0" borderId="0"/>
    <xf numFmtId="0" fontId="9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1" applyFont="1"/>
    <xf numFmtId="0" fontId="5" fillId="0" borderId="0" xfId="1" applyFont="1" applyAlignment="1">
      <alignment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6" fontId="5" fillId="0" borderId="1" xfId="2" applyNumberFormat="1" applyFont="1" applyBorder="1" applyAlignment="1">
      <alignment vertical="center"/>
    </xf>
    <xf numFmtId="41" fontId="5" fillId="0" borderId="0" xfId="1" applyNumberFormat="1" applyFont="1" applyAlignment="1">
      <alignment vertical="center"/>
    </xf>
    <xf numFmtId="49" fontId="5" fillId="4" borderId="1" xfId="1" applyNumberFormat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49" fontId="5" fillId="4" borderId="1" xfId="5" applyNumberFormat="1" applyFont="1" applyFill="1" applyBorder="1" applyAlignment="1">
      <alignment horizontal="center" vertical="center"/>
    </xf>
    <xf numFmtId="0" fontId="5" fillId="4" borderId="1" xfId="5" applyFont="1" applyFill="1" applyBorder="1" applyAlignment="1">
      <alignment horizontal="center" vertical="center"/>
    </xf>
    <xf numFmtId="49" fontId="3" fillId="0" borderId="0" xfId="1" applyNumberFormat="1" applyFont="1"/>
    <xf numFmtId="164" fontId="3" fillId="0" borderId="0" xfId="1" applyNumberFormat="1" applyFont="1"/>
    <xf numFmtId="41" fontId="3" fillId="0" borderId="0" xfId="2" applyFont="1"/>
    <xf numFmtId="166" fontId="3" fillId="0" borderId="0" xfId="2" applyNumberFormat="1" applyFont="1"/>
    <xf numFmtId="41" fontId="3" fillId="0" borderId="0" xfId="1" applyNumberFormat="1" applyFont="1"/>
    <xf numFmtId="164" fontId="3" fillId="0" borderId="0" xfId="2" applyNumberFormat="1" applyFont="1"/>
    <xf numFmtId="165" fontId="4" fillId="3" borderId="2" xfId="2" quotePrefix="1" applyNumberFormat="1" applyFont="1" applyFill="1" applyBorder="1" applyAlignment="1">
      <alignment horizontal="centerContinuous" vertical="center"/>
    </xf>
    <xf numFmtId="41" fontId="5" fillId="4" borderId="3" xfId="2" applyFont="1" applyFill="1" applyBorder="1" applyAlignment="1">
      <alignment vertical="center"/>
    </xf>
    <xf numFmtId="165" fontId="4" fillId="3" borderId="4" xfId="2" quotePrefix="1" applyNumberFormat="1" applyFont="1" applyFill="1" applyBorder="1" applyAlignment="1">
      <alignment horizontal="centerContinuous" vertical="center"/>
    </xf>
    <xf numFmtId="166" fontId="5" fillId="0" borderId="2" xfId="2" applyNumberFormat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7" fontId="4" fillId="2" borderId="1" xfId="2" quotePrefix="1" applyNumberFormat="1" applyFont="1" applyFill="1" applyBorder="1" applyAlignment="1">
      <alignment horizontal="centerContinuous" vertical="center"/>
    </xf>
    <xf numFmtId="166" fontId="5" fillId="4" borderId="1" xfId="2" applyNumberFormat="1" applyFont="1" applyFill="1" applyBorder="1" applyAlignment="1">
      <alignment vertical="center"/>
    </xf>
    <xf numFmtId="41" fontId="5" fillId="4" borderId="1" xfId="2" applyFont="1" applyFill="1" applyBorder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7" fillId="4" borderId="1" xfId="3" applyFont="1" applyFill="1" applyBorder="1" applyAlignment="1">
      <alignment horizontal="center" vertical="center"/>
    </xf>
    <xf numFmtId="0" fontId="7" fillId="4" borderId="1" xfId="6" applyFont="1" applyFill="1" applyBorder="1" applyAlignment="1">
      <alignment horizontal="center" vertical="center"/>
    </xf>
    <xf numFmtId="0" fontId="3" fillId="0" borderId="0" xfId="2" applyNumberFormat="1" applyFont="1"/>
  </cellXfs>
  <cellStyles count="8">
    <cellStyle name="Comma [0] 2" xfId="2" xr:uid="{3BBFD25B-0A39-4ECC-820F-18EA621F48C6}"/>
    <cellStyle name="Comma 2" xfId="7" xr:uid="{3949C6CC-0C0D-41CF-BE27-23C9F4204643}"/>
    <cellStyle name="Normal" xfId="0" builtinId="0"/>
    <cellStyle name="Normal 10" xfId="6" xr:uid="{363DF58F-D7B8-4D03-8577-F9B6C9D23AA6}"/>
    <cellStyle name="Normal 2" xfId="1" xr:uid="{4D0C6236-F639-4499-84FE-C9FC6D3F1BD2}"/>
    <cellStyle name="Normal 4" xfId="3" xr:uid="{7FD35DC6-EA63-49BD-89FE-50F89DAAEF05}"/>
    <cellStyle name="Normal 6" xfId="5" xr:uid="{A4DF14DE-3964-4BD3-A50F-597E053E68BB}"/>
    <cellStyle name="Percent 2" xfId="4" xr:uid="{356FEA68-7E8F-4CCD-8E23-56C0F0280009}"/>
  </cellStyles>
  <dxfs count="0"/>
  <tableStyles count="0" defaultTableStyle="TableStyleMedium2" defaultPivotStyle="PivotStyleLight16"/>
  <colors>
    <mruColors>
      <color rgb="FFC4DE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9620-C814-43C0-88E2-0579C1F5BC8E}">
  <dimension ref="A1:R289"/>
  <sheetViews>
    <sheetView showGridLines="0" zoomScale="85" zoomScaleNormal="85" zoomScaleSheetLayoutView="85" workbookViewId="0">
      <pane xSplit="5" ySplit="2" topLeftCell="F3" activePane="bottomRight" state="frozen"/>
      <selection activeCell="R286" sqref="A3:R286"/>
      <selection pane="topRight" activeCell="R286" sqref="A3:R286"/>
      <selection pane="bottomLeft" activeCell="R286" sqref="A3:R286"/>
      <selection pane="bottomRight" activeCell="F10" sqref="F10"/>
    </sheetView>
  </sheetViews>
  <sheetFormatPr defaultRowHeight="13.5"/>
  <cols>
    <col min="1" max="1" width="5.85546875" style="1" customWidth="1"/>
    <col min="2" max="2" width="7.42578125" style="11" customWidth="1"/>
    <col min="3" max="4" width="10" style="1" customWidth="1"/>
    <col min="5" max="5" width="10.28515625" style="12" customWidth="1"/>
    <col min="6" max="7" width="11.5703125" style="13" customWidth="1"/>
    <col min="8" max="8" width="11.5703125" style="1" customWidth="1"/>
    <col min="9" max="17" width="9.140625" style="1" customWidth="1"/>
    <col min="18" max="18" width="11.5703125" style="1" bestFit="1" customWidth="1"/>
    <col min="19" max="16384" width="9.140625" style="1"/>
  </cols>
  <sheetData>
    <row r="1" spans="1:18" s="2" customFormat="1" ht="4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4">
        <v>45901</v>
      </c>
      <c r="G1" s="24">
        <v>45931</v>
      </c>
      <c r="H1" s="24">
        <v>45962</v>
      </c>
      <c r="I1" s="24">
        <v>45992</v>
      </c>
      <c r="J1" s="24">
        <v>46023</v>
      </c>
      <c r="K1" s="24">
        <v>46054</v>
      </c>
      <c r="L1" s="24">
        <v>46082</v>
      </c>
      <c r="M1" s="24">
        <v>46113</v>
      </c>
      <c r="N1" s="24">
        <v>46143</v>
      </c>
      <c r="O1" s="24">
        <v>46174</v>
      </c>
      <c r="P1" s="24">
        <v>46204</v>
      </c>
      <c r="Q1" s="24">
        <v>46235</v>
      </c>
      <c r="R1" s="17" t="s">
        <v>5</v>
      </c>
    </row>
    <row r="2" spans="1:18" s="2" customFormat="1" ht="15">
      <c r="A2" s="4" t="s">
        <v>6</v>
      </c>
      <c r="B2" s="3" t="s">
        <v>7</v>
      </c>
      <c r="C2" s="4" t="s">
        <v>8</v>
      </c>
      <c r="D2" s="4">
        <v>6.29</v>
      </c>
      <c r="E2" s="28">
        <v>2008</v>
      </c>
      <c r="F2" s="26">
        <v>891</v>
      </c>
      <c r="G2" s="26">
        <v>802</v>
      </c>
      <c r="H2" s="26">
        <v>791</v>
      </c>
      <c r="I2" s="26">
        <v>552</v>
      </c>
      <c r="J2" s="26">
        <v>554</v>
      </c>
      <c r="K2" s="26"/>
      <c r="L2" s="26"/>
      <c r="M2" s="26"/>
      <c r="N2" s="26"/>
      <c r="O2" s="26"/>
      <c r="P2" s="26"/>
      <c r="Q2" s="26"/>
      <c r="R2" s="18">
        <f>SUM(F2:Q2)</f>
        <v>3590</v>
      </c>
    </row>
    <row r="3" spans="1:18" s="2" customFormat="1" ht="15">
      <c r="A3" s="8" t="s">
        <v>6</v>
      </c>
      <c r="B3" s="7" t="s">
        <v>9</v>
      </c>
      <c r="C3" s="8" t="s">
        <v>10</v>
      </c>
      <c r="D3" s="4">
        <v>19.149999999999999</v>
      </c>
      <c r="E3" s="28">
        <v>2009</v>
      </c>
      <c r="F3" s="26">
        <v>2862</v>
      </c>
      <c r="G3" s="26">
        <v>2783</v>
      </c>
      <c r="H3" s="26">
        <v>2990</v>
      </c>
      <c r="I3" s="26">
        <v>3030</v>
      </c>
      <c r="J3" s="26">
        <v>2692</v>
      </c>
      <c r="K3" s="26"/>
      <c r="L3" s="26"/>
      <c r="M3" s="26"/>
      <c r="N3" s="26"/>
      <c r="O3" s="26"/>
      <c r="P3" s="26"/>
      <c r="Q3" s="26"/>
      <c r="R3" s="18">
        <f t="shared" ref="R3:R66" si="0">SUM(F3:Q3)</f>
        <v>14357</v>
      </c>
    </row>
    <row r="4" spans="1:18" s="2" customFormat="1" ht="15">
      <c r="A4" s="8" t="s">
        <v>6</v>
      </c>
      <c r="B4" s="7" t="s">
        <v>11</v>
      </c>
      <c r="C4" s="8" t="s">
        <v>12</v>
      </c>
      <c r="D4" s="4">
        <v>18.46</v>
      </c>
      <c r="E4" s="28">
        <v>2009</v>
      </c>
      <c r="F4" s="26">
        <v>3234</v>
      </c>
      <c r="G4" s="26">
        <v>3237</v>
      </c>
      <c r="H4" s="26">
        <v>3483</v>
      </c>
      <c r="I4" s="26">
        <v>3135</v>
      </c>
      <c r="J4" s="26">
        <v>2826</v>
      </c>
      <c r="K4" s="26"/>
      <c r="L4" s="26"/>
      <c r="M4" s="26"/>
      <c r="N4" s="26"/>
      <c r="O4" s="26"/>
      <c r="P4" s="26"/>
      <c r="Q4" s="26"/>
      <c r="R4" s="18">
        <f t="shared" si="0"/>
        <v>15915</v>
      </c>
    </row>
    <row r="5" spans="1:18" s="2" customFormat="1" ht="15">
      <c r="A5" s="8" t="s">
        <v>6</v>
      </c>
      <c r="B5" s="7" t="s">
        <v>13</v>
      </c>
      <c r="C5" s="8" t="s">
        <v>14</v>
      </c>
      <c r="D5" s="4">
        <v>19.61</v>
      </c>
      <c r="E5" s="28">
        <v>2009</v>
      </c>
      <c r="F5" s="26">
        <v>2469</v>
      </c>
      <c r="G5" s="26">
        <v>2471</v>
      </c>
      <c r="H5" s="26">
        <v>2911</v>
      </c>
      <c r="I5" s="26">
        <v>2554</v>
      </c>
      <c r="J5" s="26">
        <v>2934</v>
      </c>
      <c r="K5" s="26"/>
      <c r="L5" s="26"/>
      <c r="M5" s="26"/>
      <c r="N5" s="26"/>
      <c r="O5" s="26"/>
      <c r="P5" s="26"/>
      <c r="Q5" s="26"/>
      <c r="R5" s="18">
        <f t="shared" si="0"/>
        <v>13339</v>
      </c>
    </row>
    <row r="6" spans="1:18" s="2" customFormat="1" ht="15">
      <c r="A6" s="8" t="s">
        <v>6</v>
      </c>
      <c r="B6" s="7" t="s">
        <v>15</v>
      </c>
      <c r="C6" s="8" t="s">
        <v>16</v>
      </c>
      <c r="D6" s="4">
        <v>19.2</v>
      </c>
      <c r="E6" s="28">
        <v>2009</v>
      </c>
      <c r="F6" s="26">
        <v>3345</v>
      </c>
      <c r="G6" s="26">
        <v>3507</v>
      </c>
      <c r="H6" s="26">
        <v>3688</v>
      </c>
      <c r="I6" s="26">
        <v>3003</v>
      </c>
      <c r="J6" s="26">
        <v>3606</v>
      </c>
      <c r="K6" s="26"/>
      <c r="L6" s="26"/>
      <c r="M6" s="26"/>
      <c r="N6" s="26"/>
      <c r="O6" s="26"/>
      <c r="P6" s="26"/>
      <c r="Q6" s="26"/>
      <c r="R6" s="18">
        <f t="shared" si="0"/>
        <v>17149</v>
      </c>
    </row>
    <row r="7" spans="1:18" s="2" customFormat="1" ht="15">
      <c r="A7" s="8" t="s">
        <v>6</v>
      </c>
      <c r="B7" s="7" t="s">
        <v>17</v>
      </c>
      <c r="C7" s="8" t="s">
        <v>18</v>
      </c>
      <c r="D7" s="4">
        <v>21.32</v>
      </c>
      <c r="E7" s="28">
        <v>2009</v>
      </c>
      <c r="F7" s="26">
        <v>3415</v>
      </c>
      <c r="G7" s="26">
        <v>3373</v>
      </c>
      <c r="H7" s="26">
        <v>3833</v>
      </c>
      <c r="I7" s="26">
        <v>3100</v>
      </c>
      <c r="J7" s="26">
        <v>3488</v>
      </c>
      <c r="K7" s="26"/>
      <c r="L7" s="26"/>
      <c r="M7" s="26"/>
      <c r="N7" s="26"/>
      <c r="O7" s="26"/>
      <c r="P7" s="26"/>
      <c r="Q7" s="26"/>
      <c r="R7" s="18">
        <f t="shared" si="0"/>
        <v>17209</v>
      </c>
    </row>
    <row r="8" spans="1:18" s="2" customFormat="1" ht="15">
      <c r="A8" s="8" t="s">
        <v>6</v>
      </c>
      <c r="B8" s="7" t="s">
        <v>19</v>
      </c>
      <c r="C8" s="8" t="s">
        <v>20</v>
      </c>
      <c r="D8" s="4">
        <v>4.8899999999999997</v>
      </c>
      <c r="E8" s="28">
        <v>2010</v>
      </c>
      <c r="F8" s="26">
        <v>710</v>
      </c>
      <c r="G8" s="26">
        <v>790</v>
      </c>
      <c r="H8" s="26">
        <v>728</v>
      </c>
      <c r="I8" s="26">
        <v>538</v>
      </c>
      <c r="J8" s="26">
        <v>576</v>
      </c>
      <c r="K8" s="26"/>
      <c r="L8" s="26"/>
      <c r="M8" s="26"/>
      <c r="N8" s="26"/>
      <c r="O8" s="26"/>
      <c r="P8" s="26"/>
      <c r="Q8" s="26"/>
      <c r="R8" s="18">
        <f t="shared" si="0"/>
        <v>3342</v>
      </c>
    </row>
    <row r="9" spans="1:18" s="2" customFormat="1" ht="15">
      <c r="A9" s="10" t="s">
        <v>6</v>
      </c>
      <c r="B9" s="9" t="s">
        <v>21</v>
      </c>
      <c r="C9" s="10" t="s">
        <v>22</v>
      </c>
      <c r="D9" s="4">
        <v>13.87</v>
      </c>
      <c r="E9" s="28">
        <v>2010</v>
      </c>
      <c r="F9" s="26">
        <v>2473</v>
      </c>
      <c r="G9" s="26">
        <v>2448</v>
      </c>
      <c r="H9" s="26">
        <v>2798</v>
      </c>
      <c r="I9" s="26">
        <v>2215</v>
      </c>
      <c r="J9" s="26">
        <v>2302</v>
      </c>
      <c r="K9" s="26"/>
      <c r="L9" s="26"/>
      <c r="M9" s="26"/>
      <c r="N9" s="26"/>
      <c r="O9" s="26"/>
      <c r="P9" s="26"/>
      <c r="Q9" s="26"/>
      <c r="R9" s="18">
        <f t="shared" si="0"/>
        <v>12236</v>
      </c>
    </row>
    <row r="10" spans="1:18" s="2" customFormat="1" ht="15">
      <c r="A10" s="8" t="s">
        <v>6</v>
      </c>
      <c r="B10" s="7" t="s">
        <v>23</v>
      </c>
      <c r="C10" s="8" t="s">
        <v>24</v>
      </c>
      <c r="D10" s="4">
        <v>6.64</v>
      </c>
      <c r="E10" s="28">
        <v>2010</v>
      </c>
      <c r="F10" s="26">
        <v>880</v>
      </c>
      <c r="G10" s="26">
        <v>1041</v>
      </c>
      <c r="H10" s="26">
        <v>1052</v>
      </c>
      <c r="I10" s="26">
        <v>880</v>
      </c>
      <c r="J10" s="26">
        <v>782</v>
      </c>
      <c r="K10" s="26"/>
      <c r="L10" s="26"/>
      <c r="M10" s="26"/>
      <c r="N10" s="26"/>
      <c r="O10" s="26"/>
      <c r="P10" s="26"/>
      <c r="Q10" s="26"/>
      <c r="R10" s="18">
        <f t="shared" si="0"/>
        <v>4635</v>
      </c>
    </row>
    <row r="11" spans="1:18" s="2" customFormat="1" ht="15">
      <c r="A11" s="10" t="s">
        <v>6</v>
      </c>
      <c r="B11" s="9" t="s">
        <v>25</v>
      </c>
      <c r="C11" s="10" t="s">
        <v>26</v>
      </c>
      <c r="D11" s="4">
        <v>16.57</v>
      </c>
      <c r="E11" s="28">
        <v>2010</v>
      </c>
      <c r="F11" s="26">
        <v>2088</v>
      </c>
      <c r="G11" s="26">
        <v>2737</v>
      </c>
      <c r="H11" s="26">
        <v>2916</v>
      </c>
      <c r="I11" s="26">
        <v>2450</v>
      </c>
      <c r="J11" s="26">
        <v>2403</v>
      </c>
      <c r="K11" s="26"/>
      <c r="L11" s="26"/>
      <c r="M11" s="26"/>
      <c r="N11" s="26"/>
      <c r="O11" s="26"/>
      <c r="P11" s="26"/>
      <c r="Q11" s="26"/>
      <c r="R11" s="18">
        <f t="shared" si="0"/>
        <v>12594</v>
      </c>
    </row>
    <row r="12" spans="1:18" s="2" customFormat="1" ht="15">
      <c r="A12" s="10" t="s">
        <v>6</v>
      </c>
      <c r="B12" s="9" t="s">
        <v>27</v>
      </c>
      <c r="C12" s="10" t="s">
        <v>28</v>
      </c>
      <c r="D12" s="4">
        <v>7.92</v>
      </c>
      <c r="E12" s="28">
        <v>2010</v>
      </c>
      <c r="F12" s="26">
        <v>1371</v>
      </c>
      <c r="G12" s="26">
        <v>1243</v>
      </c>
      <c r="H12" s="26">
        <v>1399</v>
      </c>
      <c r="I12" s="26">
        <v>1197</v>
      </c>
      <c r="J12" s="26">
        <v>1130</v>
      </c>
      <c r="K12" s="26"/>
      <c r="L12" s="26"/>
      <c r="M12" s="26"/>
      <c r="N12" s="26"/>
      <c r="O12" s="26"/>
      <c r="P12" s="26"/>
      <c r="Q12" s="26"/>
      <c r="R12" s="18">
        <f t="shared" si="0"/>
        <v>6340</v>
      </c>
    </row>
    <row r="13" spans="1:18" s="2" customFormat="1" ht="15">
      <c r="A13" s="10" t="s">
        <v>6</v>
      </c>
      <c r="B13" s="9" t="s">
        <v>29</v>
      </c>
      <c r="C13" s="10" t="s">
        <v>30</v>
      </c>
      <c r="D13" s="4">
        <v>17.89</v>
      </c>
      <c r="E13" s="28">
        <v>2010</v>
      </c>
      <c r="F13" s="26">
        <v>3268</v>
      </c>
      <c r="G13" s="26">
        <v>2850</v>
      </c>
      <c r="H13" s="26">
        <v>2889</v>
      </c>
      <c r="I13" s="26">
        <v>2756</v>
      </c>
      <c r="J13" s="26">
        <v>2262</v>
      </c>
      <c r="K13" s="26"/>
      <c r="L13" s="26"/>
      <c r="M13" s="26"/>
      <c r="N13" s="26"/>
      <c r="O13" s="26"/>
      <c r="P13" s="26"/>
      <c r="Q13" s="26"/>
      <c r="R13" s="18">
        <f t="shared" si="0"/>
        <v>14025</v>
      </c>
    </row>
    <row r="14" spans="1:18" s="2" customFormat="1" ht="15">
      <c r="A14" s="8" t="s">
        <v>6</v>
      </c>
      <c r="B14" s="7" t="s">
        <v>31</v>
      </c>
      <c r="C14" s="8" t="s">
        <v>32</v>
      </c>
      <c r="D14" s="4">
        <v>20.5</v>
      </c>
      <c r="E14" s="28">
        <v>2011</v>
      </c>
      <c r="F14" s="26">
        <v>2689</v>
      </c>
      <c r="G14" s="26">
        <v>3897</v>
      </c>
      <c r="H14" s="26">
        <v>3298</v>
      </c>
      <c r="I14" s="26">
        <v>3346</v>
      </c>
      <c r="J14" s="26">
        <v>3248</v>
      </c>
      <c r="K14" s="26"/>
      <c r="L14" s="26"/>
      <c r="M14" s="26"/>
      <c r="N14" s="26"/>
      <c r="O14" s="26"/>
      <c r="P14" s="26"/>
      <c r="Q14" s="26"/>
      <c r="R14" s="18">
        <f t="shared" si="0"/>
        <v>16478</v>
      </c>
    </row>
    <row r="15" spans="1:18" s="2" customFormat="1" ht="15">
      <c r="A15" s="8" t="s">
        <v>6</v>
      </c>
      <c r="B15" s="7" t="s">
        <v>33</v>
      </c>
      <c r="C15" s="8" t="s">
        <v>34</v>
      </c>
      <c r="D15" s="4">
        <v>6.87</v>
      </c>
      <c r="E15" s="28">
        <v>2011</v>
      </c>
      <c r="F15" s="26">
        <v>1317</v>
      </c>
      <c r="G15" s="26">
        <v>1688</v>
      </c>
      <c r="H15" s="26">
        <v>1738</v>
      </c>
      <c r="I15" s="26">
        <v>1243</v>
      </c>
      <c r="J15" s="26">
        <v>1457</v>
      </c>
      <c r="K15" s="26"/>
      <c r="L15" s="26"/>
      <c r="M15" s="26"/>
      <c r="N15" s="26"/>
      <c r="O15" s="26"/>
      <c r="P15" s="26"/>
      <c r="Q15" s="26"/>
      <c r="R15" s="18">
        <f t="shared" si="0"/>
        <v>7443</v>
      </c>
    </row>
    <row r="16" spans="1:18" s="2" customFormat="1" ht="15">
      <c r="A16" s="8" t="s">
        <v>6</v>
      </c>
      <c r="B16" s="7" t="s">
        <v>35</v>
      </c>
      <c r="C16" s="8" t="s">
        <v>36</v>
      </c>
      <c r="D16" s="4">
        <v>9.49</v>
      </c>
      <c r="E16" s="28">
        <v>2011</v>
      </c>
      <c r="F16" s="26">
        <v>1651</v>
      </c>
      <c r="G16" s="26">
        <v>1980</v>
      </c>
      <c r="H16" s="26">
        <v>2490</v>
      </c>
      <c r="I16" s="26">
        <v>1785</v>
      </c>
      <c r="J16" s="26">
        <v>2411</v>
      </c>
      <c r="K16" s="26"/>
      <c r="L16" s="26"/>
      <c r="M16" s="26"/>
      <c r="N16" s="26"/>
      <c r="O16" s="26"/>
      <c r="P16" s="26"/>
      <c r="Q16" s="26"/>
      <c r="R16" s="18">
        <f t="shared" si="0"/>
        <v>10317</v>
      </c>
    </row>
    <row r="17" spans="1:18" s="2" customFormat="1" ht="15">
      <c r="A17" s="8" t="s">
        <v>6</v>
      </c>
      <c r="B17" s="7" t="s">
        <v>37</v>
      </c>
      <c r="C17" s="8" t="s">
        <v>38</v>
      </c>
      <c r="D17" s="4">
        <v>14.21</v>
      </c>
      <c r="E17" s="28">
        <v>2011</v>
      </c>
      <c r="F17" s="26">
        <v>2498</v>
      </c>
      <c r="G17" s="26">
        <v>2877</v>
      </c>
      <c r="H17" s="26">
        <v>3168</v>
      </c>
      <c r="I17" s="26">
        <v>2499</v>
      </c>
      <c r="J17" s="26">
        <v>2978</v>
      </c>
      <c r="K17" s="26"/>
      <c r="L17" s="26"/>
      <c r="M17" s="26"/>
      <c r="N17" s="26"/>
      <c r="O17" s="26"/>
      <c r="P17" s="26"/>
      <c r="Q17" s="26"/>
      <c r="R17" s="18">
        <f t="shared" si="0"/>
        <v>14020</v>
      </c>
    </row>
    <row r="18" spans="1:18" s="2" customFormat="1" ht="15">
      <c r="A18" s="8" t="s">
        <v>6</v>
      </c>
      <c r="B18" s="7" t="s">
        <v>39</v>
      </c>
      <c r="C18" s="8" t="s">
        <v>40</v>
      </c>
      <c r="D18" s="4">
        <v>29.23</v>
      </c>
      <c r="E18" s="28">
        <v>2011</v>
      </c>
      <c r="F18" s="26">
        <v>4215</v>
      </c>
      <c r="G18" s="26">
        <v>4691</v>
      </c>
      <c r="H18" s="26">
        <v>4987</v>
      </c>
      <c r="I18" s="26">
        <v>4626</v>
      </c>
      <c r="J18" s="26">
        <v>4581</v>
      </c>
      <c r="K18" s="26"/>
      <c r="L18" s="26"/>
      <c r="M18" s="26"/>
      <c r="N18" s="26"/>
      <c r="O18" s="26"/>
      <c r="P18" s="26"/>
      <c r="Q18" s="26"/>
      <c r="R18" s="18">
        <f t="shared" si="0"/>
        <v>23100</v>
      </c>
    </row>
    <row r="19" spans="1:18" s="2" customFormat="1" ht="15">
      <c r="A19" s="8" t="s">
        <v>6</v>
      </c>
      <c r="B19" s="7" t="s">
        <v>41</v>
      </c>
      <c r="C19" s="8" t="s">
        <v>42</v>
      </c>
      <c r="D19" s="4">
        <v>2.92</v>
      </c>
      <c r="E19" s="28">
        <v>2011</v>
      </c>
      <c r="F19" s="26">
        <v>485</v>
      </c>
      <c r="G19" s="26">
        <v>558</v>
      </c>
      <c r="H19" s="26">
        <v>478</v>
      </c>
      <c r="I19" s="26">
        <v>436</v>
      </c>
      <c r="J19" s="26">
        <v>488</v>
      </c>
      <c r="K19" s="26"/>
      <c r="L19" s="26"/>
      <c r="M19" s="26"/>
      <c r="N19" s="26"/>
      <c r="O19" s="26"/>
      <c r="P19" s="26"/>
      <c r="Q19" s="26"/>
      <c r="R19" s="18">
        <f t="shared" si="0"/>
        <v>2445</v>
      </c>
    </row>
    <row r="20" spans="1:18" s="2" customFormat="1" ht="15">
      <c r="A20" s="8" t="s">
        <v>6</v>
      </c>
      <c r="B20" s="7" t="s">
        <v>43</v>
      </c>
      <c r="C20" s="8" t="s">
        <v>44</v>
      </c>
      <c r="D20" s="4">
        <v>31.31</v>
      </c>
      <c r="E20" s="28">
        <v>2011</v>
      </c>
      <c r="F20" s="26">
        <v>5319</v>
      </c>
      <c r="G20" s="26">
        <v>5980</v>
      </c>
      <c r="H20" s="26">
        <v>7329</v>
      </c>
      <c r="I20" s="26">
        <v>5990</v>
      </c>
      <c r="J20" s="26">
        <v>7486</v>
      </c>
      <c r="K20" s="26"/>
      <c r="L20" s="26"/>
      <c r="M20" s="26"/>
      <c r="N20" s="26"/>
      <c r="O20" s="26"/>
      <c r="P20" s="26"/>
      <c r="Q20" s="26"/>
      <c r="R20" s="18">
        <f t="shared" si="0"/>
        <v>32104</v>
      </c>
    </row>
    <row r="21" spans="1:18" s="2" customFormat="1" ht="15">
      <c r="A21" s="4" t="s">
        <v>6</v>
      </c>
      <c r="B21" s="3" t="s">
        <v>45</v>
      </c>
      <c r="C21" s="4" t="s">
        <v>46</v>
      </c>
      <c r="D21" s="4">
        <v>19.39</v>
      </c>
      <c r="E21" s="28">
        <v>2011</v>
      </c>
      <c r="F21" s="26">
        <v>2614</v>
      </c>
      <c r="G21" s="26">
        <v>2567</v>
      </c>
      <c r="H21" s="26">
        <v>4284</v>
      </c>
      <c r="I21" s="26">
        <v>2993</v>
      </c>
      <c r="J21" s="26">
        <v>3864</v>
      </c>
      <c r="K21" s="26"/>
      <c r="L21" s="26"/>
      <c r="M21" s="26"/>
      <c r="N21" s="26"/>
      <c r="O21" s="26"/>
      <c r="P21" s="26"/>
      <c r="Q21" s="26"/>
      <c r="R21" s="18">
        <f t="shared" si="0"/>
        <v>16322</v>
      </c>
    </row>
    <row r="22" spans="1:18" s="2" customFormat="1" ht="15">
      <c r="A22" s="4" t="s">
        <v>6</v>
      </c>
      <c r="B22" s="3" t="s">
        <v>47</v>
      </c>
      <c r="C22" s="4" t="s">
        <v>48</v>
      </c>
      <c r="D22" s="4">
        <v>19.100000000000001</v>
      </c>
      <c r="E22" s="28">
        <v>2011</v>
      </c>
      <c r="F22" s="26">
        <v>3679</v>
      </c>
      <c r="G22" s="26">
        <v>3776</v>
      </c>
      <c r="H22" s="26">
        <v>4571</v>
      </c>
      <c r="I22" s="26">
        <v>3953</v>
      </c>
      <c r="J22" s="26">
        <v>4845</v>
      </c>
      <c r="K22" s="26"/>
      <c r="L22" s="26"/>
      <c r="M22" s="26"/>
      <c r="N22" s="26"/>
      <c r="O22" s="26"/>
      <c r="P22" s="26"/>
      <c r="Q22" s="26"/>
      <c r="R22" s="18">
        <f t="shared" si="0"/>
        <v>20824</v>
      </c>
    </row>
    <row r="23" spans="1:18" s="2" customFormat="1" ht="15">
      <c r="A23" s="4" t="s">
        <v>6</v>
      </c>
      <c r="B23" s="3" t="s">
        <v>49</v>
      </c>
      <c r="C23" s="4" t="s">
        <v>50</v>
      </c>
      <c r="D23" s="4">
        <v>18.64</v>
      </c>
      <c r="E23" s="28">
        <v>2011</v>
      </c>
      <c r="F23" s="26">
        <v>2502</v>
      </c>
      <c r="G23" s="26">
        <v>2683</v>
      </c>
      <c r="H23" s="26">
        <v>3330</v>
      </c>
      <c r="I23" s="26">
        <v>2766</v>
      </c>
      <c r="J23" s="26">
        <v>2872</v>
      </c>
      <c r="K23" s="26"/>
      <c r="L23" s="26"/>
      <c r="M23" s="26"/>
      <c r="N23" s="26"/>
      <c r="O23" s="26"/>
      <c r="P23" s="26"/>
      <c r="Q23" s="26"/>
      <c r="R23" s="18">
        <f t="shared" si="0"/>
        <v>14153</v>
      </c>
    </row>
    <row r="24" spans="1:18" s="2" customFormat="1" ht="15">
      <c r="A24" s="4" t="s">
        <v>6</v>
      </c>
      <c r="B24" s="3" t="s">
        <v>51</v>
      </c>
      <c r="C24" s="4" t="s">
        <v>52</v>
      </c>
      <c r="D24" s="4">
        <v>18.8</v>
      </c>
      <c r="E24" s="28">
        <v>2011</v>
      </c>
      <c r="F24" s="26">
        <v>2631</v>
      </c>
      <c r="G24" s="26">
        <v>2847</v>
      </c>
      <c r="H24" s="26">
        <v>3260</v>
      </c>
      <c r="I24" s="26">
        <v>2905</v>
      </c>
      <c r="J24" s="26">
        <v>3855</v>
      </c>
      <c r="K24" s="26"/>
      <c r="L24" s="26"/>
      <c r="M24" s="26"/>
      <c r="N24" s="26"/>
      <c r="O24" s="26"/>
      <c r="P24" s="26"/>
      <c r="Q24" s="26"/>
      <c r="R24" s="18">
        <f t="shared" si="0"/>
        <v>15498</v>
      </c>
    </row>
    <row r="25" spans="1:18" s="2" customFormat="1" ht="15">
      <c r="A25" s="4" t="s">
        <v>6</v>
      </c>
      <c r="B25" s="3" t="s">
        <v>53</v>
      </c>
      <c r="C25" s="4" t="s">
        <v>54</v>
      </c>
      <c r="D25" s="4">
        <v>19.239999999999998</v>
      </c>
      <c r="E25" s="28">
        <v>2011</v>
      </c>
      <c r="F25" s="26">
        <v>3076</v>
      </c>
      <c r="G25" s="26">
        <v>3309</v>
      </c>
      <c r="H25" s="26">
        <v>4366</v>
      </c>
      <c r="I25" s="26">
        <v>3789</v>
      </c>
      <c r="J25" s="26">
        <v>3837</v>
      </c>
      <c r="K25" s="26"/>
      <c r="L25" s="26"/>
      <c r="M25" s="26"/>
      <c r="N25" s="26"/>
      <c r="O25" s="26"/>
      <c r="P25" s="26"/>
      <c r="Q25" s="26"/>
      <c r="R25" s="18">
        <f t="shared" si="0"/>
        <v>18377</v>
      </c>
    </row>
    <row r="26" spans="1:18" s="2" customFormat="1" ht="15">
      <c r="A26" s="4" t="s">
        <v>6</v>
      </c>
      <c r="B26" s="3" t="s">
        <v>55</v>
      </c>
      <c r="C26" s="4" t="s">
        <v>56</v>
      </c>
      <c r="D26" s="4">
        <v>17.45</v>
      </c>
      <c r="E26" s="28">
        <v>2011</v>
      </c>
      <c r="F26" s="26">
        <v>2405</v>
      </c>
      <c r="G26" s="26">
        <v>3252</v>
      </c>
      <c r="H26" s="26">
        <v>3350</v>
      </c>
      <c r="I26" s="26">
        <v>4042</v>
      </c>
      <c r="J26" s="26">
        <v>2813</v>
      </c>
      <c r="K26" s="26"/>
      <c r="L26" s="26"/>
      <c r="M26" s="26"/>
      <c r="N26" s="26"/>
      <c r="O26" s="26"/>
      <c r="P26" s="26"/>
      <c r="Q26" s="26"/>
      <c r="R26" s="18">
        <f t="shared" si="0"/>
        <v>15862</v>
      </c>
    </row>
    <row r="27" spans="1:18" s="2" customFormat="1" ht="15">
      <c r="A27" s="4" t="s">
        <v>6</v>
      </c>
      <c r="B27" s="3" t="s">
        <v>57</v>
      </c>
      <c r="C27" s="4" t="s">
        <v>58</v>
      </c>
      <c r="D27" s="4">
        <v>19.329999999999998</v>
      </c>
      <c r="E27" s="28">
        <v>2011</v>
      </c>
      <c r="F27" s="26">
        <v>1916</v>
      </c>
      <c r="G27" s="26">
        <v>2533</v>
      </c>
      <c r="H27" s="26">
        <v>2806</v>
      </c>
      <c r="I27" s="26">
        <v>3263</v>
      </c>
      <c r="J27" s="26">
        <v>2559</v>
      </c>
      <c r="K27" s="26"/>
      <c r="L27" s="26"/>
      <c r="M27" s="26"/>
      <c r="N27" s="26"/>
      <c r="O27" s="26"/>
      <c r="P27" s="26"/>
      <c r="Q27" s="26"/>
      <c r="R27" s="18">
        <f t="shared" si="0"/>
        <v>13077</v>
      </c>
    </row>
    <row r="28" spans="1:18" s="2" customFormat="1" ht="15">
      <c r="A28" s="4" t="s">
        <v>6</v>
      </c>
      <c r="B28" s="3" t="s">
        <v>59</v>
      </c>
      <c r="C28" s="4" t="s">
        <v>60</v>
      </c>
      <c r="D28" s="4">
        <v>28.44</v>
      </c>
      <c r="E28" s="28">
        <v>2011</v>
      </c>
      <c r="F28" s="26">
        <v>3698</v>
      </c>
      <c r="G28" s="26">
        <v>4531</v>
      </c>
      <c r="H28" s="26">
        <v>5762</v>
      </c>
      <c r="I28" s="26">
        <v>6081</v>
      </c>
      <c r="J28" s="26">
        <v>4113</v>
      </c>
      <c r="K28" s="26"/>
      <c r="L28" s="26"/>
      <c r="M28" s="26"/>
      <c r="N28" s="26"/>
      <c r="O28" s="26"/>
      <c r="P28" s="26"/>
      <c r="Q28" s="26"/>
      <c r="R28" s="18">
        <f t="shared" si="0"/>
        <v>24185</v>
      </c>
    </row>
    <row r="29" spans="1:18" s="2" customFormat="1" ht="15">
      <c r="A29" s="4" t="s">
        <v>6</v>
      </c>
      <c r="B29" s="3" t="s">
        <v>61</v>
      </c>
      <c r="C29" s="4" t="s">
        <v>62</v>
      </c>
      <c r="D29" s="4">
        <v>29.76</v>
      </c>
      <c r="E29" s="28">
        <v>2011</v>
      </c>
      <c r="F29" s="26">
        <v>3962</v>
      </c>
      <c r="G29" s="26">
        <v>5562</v>
      </c>
      <c r="H29" s="26">
        <v>5434</v>
      </c>
      <c r="I29" s="26">
        <v>6668</v>
      </c>
      <c r="J29" s="26">
        <v>4088</v>
      </c>
      <c r="K29" s="26"/>
      <c r="L29" s="26"/>
      <c r="M29" s="26"/>
      <c r="N29" s="26"/>
      <c r="O29" s="26"/>
      <c r="P29" s="26"/>
      <c r="Q29" s="26"/>
      <c r="R29" s="18">
        <f t="shared" si="0"/>
        <v>25714</v>
      </c>
    </row>
    <row r="30" spans="1:18" s="2" customFormat="1" ht="15">
      <c r="A30" s="4" t="s">
        <v>6</v>
      </c>
      <c r="B30" s="3" t="s">
        <v>63</v>
      </c>
      <c r="C30" s="4" t="s">
        <v>64</v>
      </c>
      <c r="D30" s="4">
        <v>27.43</v>
      </c>
      <c r="E30" s="29">
        <v>2013</v>
      </c>
      <c r="F30" s="26">
        <v>4798</v>
      </c>
      <c r="G30" s="26">
        <v>5220</v>
      </c>
      <c r="H30" s="26">
        <v>6420</v>
      </c>
      <c r="I30" s="26">
        <v>4473</v>
      </c>
      <c r="J30" s="26">
        <v>5972</v>
      </c>
      <c r="K30" s="26"/>
      <c r="L30" s="26"/>
      <c r="M30" s="26"/>
      <c r="N30" s="26"/>
      <c r="O30" s="26"/>
      <c r="P30" s="26"/>
      <c r="Q30" s="26"/>
      <c r="R30" s="18">
        <f t="shared" si="0"/>
        <v>26883</v>
      </c>
    </row>
    <row r="31" spans="1:18" s="2" customFormat="1" ht="15">
      <c r="A31" s="4" t="s">
        <v>6</v>
      </c>
      <c r="B31" s="3" t="s">
        <v>65</v>
      </c>
      <c r="C31" s="4" t="s">
        <v>66</v>
      </c>
      <c r="D31" s="4">
        <v>12.48</v>
      </c>
      <c r="E31" s="28">
        <v>2013</v>
      </c>
      <c r="F31" s="26">
        <v>2193</v>
      </c>
      <c r="G31" s="26">
        <v>2528</v>
      </c>
      <c r="H31" s="26">
        <v>2639</v>
      </c>
      <c r="I31" s="26">
        <v>2149</v>
      </c>
      <c r="J31" s="26">
        <v>2711</v>
      </c>
      <c r="K31" s="26"/>
      <c r="L31" s="26"/>
      <c r="M31" s="26"/>
      <c r="N31" s="26"/>
      <c r="O31" s="26"/>
      <c r="P31" s="26"/>
      <c r="Q31" s="26"/>
      <c r="R31" s="18">
        <f t="shared" si="0"/>
        <v>12220</v>
      </c>
    </row>
    <row r="32" spans="1:18" s="2" customFormat="1" ht="15">
      <c r="A32" s="4" t="s">
        <v>6</v>
      </c>
      <c r="B32" s="3" t="s">
        <v>67</v>
      </c>
      <c r="C32" s="4" t="s">
        <v>68</v>
      </c>
      <c r="D32" s="4">
        <v>19.12</v>
      </c>
      <c r="E32" s="28">
        <v>2011</v>
      </c>
      <c r="F32" s="26">
        <v>3260</v>
      </c>
      <c r="G32" s="26">
        <v>3266</v>
      </c>
      <c r="H32" s="26">
        <v>3396</v>
      </c>
      <c r="I32" s="26">
        <v>3305</v>
      </c>
      <c r="J32" s="26">
        <v>3233</v>
      </c>
      <c r="K32" s="26"/>
      <c r="L32" s="26"/>
      <c r="M32" s="26"/>
      <c r="N32" s="26"/>
      <c r="O32" s="26"/>
      <c r="P32" s="26"/>
      <c r="Q32" s="26"/>
      <c r="R32" s="18">
        <f t="shared" si="0"/>
        <v>16460</v>
      </c>
    </row>
    <row r="33" spans="1:18" s="2" customFormat="1" ht="15">
      <c r="A33" s="4" t="s">
        <v>6</v>
      </c>
      <c r="B33" s="3" t="s">
        <v>69</v>
      </c>
      <c r="C33" s="4" t="s">
        <v>70</v>
      </c>
      <c r="D33" s="4">
        <v>18.88</v>
      </c>
      <c r="E33" s="28">
        <v>2011</v>
      </c>
      <c r="F33" s="26">
        <v>2967</v>
      </c>
      <c r="G33" s="26">
        <v>3434</v>
      </c>
      <c r="H33" s="26">
        <v>3444</v>
      </c>
      <c r="I33" s="26">
        <v>2886</v>
      </c>
      <c r="J33" s="26">
        <v>3471</v>
      </c>
      <c r="K33" s="26"/>
      <c r="L33" s="26"/>
      <c r="M33" s="26"/>
      <c r="N33" s="26"/>
      <c r="O33" s="26"/>
      <c r="P33" s="26"/>
      <c r="Q33" s="26"/>
      <c r="R33" s="18">
        <f t="shared" si="0"/>
        <v>16202</v>
      </c>
    </row>
    <row r="34" spans="1:18" s="2" customFormat="1" ht="15">
      <c r="A34" s="4" t="s">
        <v>6</v>
      </c>
      <c r="B34" s="3" t="s">
        <v>71</v>
      </c>
      <c r="C34" s="4" t="s">
        <v>72</v>
      </c>
      <c r="D34" s="4">
        <v>27.19</v>
      </c>
      <c r="E34" s="28">
        <v>2011</v>
      </c>
      <c r="F34" s="26">
        <v>5049</v>
      </c>
      <c r="G34" s="26">
        <v>7465</v>
      </c>
      <c r="H34" s="26">
        <v>5407</v>
      </c>
      <c r="I34" s="26">
        <v>8406</v>
      </c>
      <c r="J34" s="26">
        <v>5382</v>
      </c>
      <c r="K34" s="26"/>
      <c r="L34" s="26"/>
      <c r="M34" s="26"/>
      <c r="N34" s="26"/>
      <c r="O34" s="26"/>
      <c r="P34" s="26"/>
      <c r="Q34" s="26"/>
      <c r="R34" s="18">
        <f t="shared" si="0"/>
        <v>31709</v>
      </c>
    </row>
    <row r="35" spans="1:18" s="2" customFormat="1" ht="15">
      <c r="A35" s="4" t="s">
        <v>6</v>
      </c>
      <c r="B35" s="3" t="s">
        <v>73</v>
      </c>
      <c r="C35" s="4" t="s">
        <v>74</v>
      </c>
      <c r="D35" s="4">
        <v>29.83</v>
      </c>
      <c r="E35" s="28">
        <v>2011</v>
      </c>
      <c r="F35" s="26">
        <v>3328</v>
      </c>
      <c r="G35" s="26">
        <v>5422</v>
      </c>
      <c r="H35" s="26">
        <v>3567</v>
      </c>
      <c r="I35" s="26">
        <v>5947</v>
      </c>
      <c r="J35" s="26">
        <v>4001</v>
      </c>
      <c r="K35" s="26"/>
      <c r="L35" s="26"/>
      <c r="M35" s="26"/>
      <c r="N35" s="26"/>
      <c r="O35" s="26"/>
      <c r="P35" s="26"/>
      <c r="Q35" s="26"/>
      <c r="R35" s="18">
        <f t="shared" si="0"/>
        <v>22265</v>
      </c>
    </row>
    <row r="36" spans="1:18" s="2" customFormat="1" ht="15">
      <c r="A36" s="10" t="s">
        <v>6</v>
      </c>
      <c r="B36" s="9" t="s">
        <v>75</v>
      </c>
      <c r="C36" s="10" t="s">
        <v>76</v>
      </c>
      <c r="D36" s="4">
        <v>18.05</v>
      </c>
      <c r="E36" s="28">
        <v>2011</v>
      </c>
      <c r="F36" s="26">
        <v>2273</v>
      </c>
      <c r="G36" s="26">
        <v>4314</v>
      </c>
      <c r="H36" s="26">
        <v>3618</v>
      </c>
      <c r="I36" s="26">
        <v>3601</v>
      </c>
      <c r="J36" s="26">
        <v>3104</v>
      </c>
      <c r="K36" s="26"/>
      <c r="L36" s="26"/>
      <c r="M36" s="26"/>
      <c r="N36" s="26"/>
      <c r="O36" s="26"/>
      <c r="P36" s="26"/>
      <c r="Q36" s="26"/>
      <c r="R36" s="18">
        <f t="shared" si="0"/>
        <v>16910</v>
      </c>
    </row>
    <row r="37" spans="1:18" s="2" customFormat="1" ht="15">
      <c r="A37" s="10" t="s">
        <v>6</v>
      </c>
      <c r="B37" s="9" t="s">
        <v>77</v>
      </c>
      <c r="C37" s="10" t="s">
        <v>78</v>
      </c>
      <c r="D37" s="4">
        <v>17.690000000000001</v>
      </c>
      <c r="E37" s="28">
        <v>2011</v>
      </c>
      <c r="F37" s="26">
        <v>2386</v>
      </c>
      <c r="G37" s="26">
        <v>3508</v>
      </c>
      <c r="H37" s="26">
        <v>3345</v>
      </c>
      <c r="I37" s="26">
        <v>3078</v>
      </c>
      <c r="J37" s="26">
        <v>3230</v>
      </c>
      <c r="K37" s="26"/>
      <c r="L37" s="26"/>
      <c r="M37" s="26"/>
      <c r="N37" s="26"/>
      <c r="O37" s="26"/>
      <c r="P37" s="26"/>
      <c r="Q37" s="26"/>
      <c r="R37" s="18">
        <f t="shared" si="0"/>
        <v>15547</v>
      </c>
    </row>
    <row r="38" spans="1:18" s="2" customFormat="1" ht="15">
      <c r="A38" s="10" t="s">
        <v>6</v>
      </c>
      <c r="B38" s="9" t="s">
        <v>79</v>
      </c>
      <c r="C38" s="10" t="s">
        <v>80</v>
      </c>
      <c r="D38" s="4">
        <v>16.920000000000002</v>
      </c>
      <c r="E38" s="28">
        <v>2011</v>
      </c>
      <c r="F38" s="26">
        <v>2801</v>
      </c>
      <c r="G38" s="26">
        <v>3326</v>
      </c>
      <c r="H38" s="26">
        <v>3406</v>
      </c>
      <c r="I38" s="26">
        <v>2977</v>
      </c>
      <c r="J38" s="26">
        <v>3237</v>
      </c>
      <c r="K38" s="26"/>
      <c r="L38" s="26"/>
      <c r="M38" s="26"/>
      <c r="N38" s="26"/>
      <c r="O38" s="26"/>
      <c r="P38" s="26"/>
      <c r="Q38" s="26"/>
      <c r="R38" s="18">
        <f t="shared" si="0"/>
        <v>15747</v>
      </c>
    </row>
    <row r="39" spans="1:18" s="2" customFormat="1" ht="15">
      <c r="A39" s="10" t="s">
        <v>6</v>
      </c>
      <c r="B39" s="9" t="s">
        <v>81</v>
      </c>
      <c r="C39" s="10" t="s">
        <v>82</v>
      </c>
      <c r="D39" s="4">
        <v>16.91</v>
      </c>
      <c r="E39" s="28">
        <v>2011</v>
      </c>
      <c r="F39" s="26">
        <v>2958</v>
      </c>
      <c r="G39" s="26">
        <v>3297</v>
      </c>
      <c r="H39" s="26">
        <v>3540</v>
      </c>
      <c r="I39" s="26">
        <v>3200</v>
      </c>
      <c r="J39" s="26">
        <v>2830</v>
      </c>
      <c r="K39" s="26"/>
      <c r="L39" s="26"/>
      <c r="M39" s="26"/>
      <c r="N39" s="26"/>
      <c r="O39" s="26"/>
      <c r="P39" s="26"/>
      <c r="Q39" s="26"/>
      <c r="R39" s="18">
        <f t="shared" si="0"/>
        <v>15825</v>
      </c>
    </row>
    <row r="40" spans="1:18" s="2" customFormat="1" ht="15">
      <c r="A40" s="10" t="s">
        <v>6</v>
      </c>
      <c r="B40" s="9" t="s">
        <v>83</v>
      </c>
      <c r="C40" s="10" t="s">
        <v>84</v>
      </c>
      <c r="D40" s="4">
        <v>29.03</v>
      </c>
      <c r="E40" s="28">
        <v>2011</v>
      </c>
      <c r="F40" s="26">
        <v>3554</v>
      </c>
      <c r="G40" s="26">
        <v>5638</v>
      </c>
      <c r="H40" s="26">
        <v>4768</v>
      </c>
      <c r="I40" s="26">
        <v>6562</v>
      </c>
      <c r="J40" s="26">
        <v>4593</v>
      </c>
      <c r="K40" s="26"/>
      <c r="L40" s="26"/>
      <c r="M40" s="26"/>
      <c r="N40" s="26"/>
      <c r="O40" s="26"/>
      <c r="P40" s="26"/>
      <c r="Q40" s="26"/>
      <c r="R40" s="18">
        <f t="shared" si="0"/>
        <v>25115</v>
      </c>
    </row>
    <row r="41" spans="1:18" s="2" customFormat="1" ht="15">
      <c r="A41" s="10" t="s">
        <v>6</v>
      </c>
      <c r="B41" s="9" t="s">
        <v>85</v>
      </c>
      <c r="C41" s="10" t="s">
        <v>86</v>
      </c>
      <c r="D41" s="4">
        <v>29.67</v>
      </c>
      <c r="E41" s="28">
        <v>2011</v>
      </c>
      <c r="F41" s="26">
        <v>4141</v>
      </c>
      <c r="G41" s="26">
        <v>7592</v>
      </c>
      <c r="H41" s="26">
        <v>5275</v>
      </c>
      <c r="I41" s="26">
        <v>6174</v>
      </c>
      <c r="J41" s="26">
        <v>4585</v>
      </c>
      <c r="K41" s="26"/>
      <c r="L41" s="26"/>
      <c r="M41" s="26"/>
      <c r="N41" s="26"/>
      <c r="O41" s="26"/>
      <c r="P41" s="26"/>
      <c r="Q41" s="26"/>
      <c r="R41" s="18">
        <f t="shared" si="0"/>
        <v>27767</v>
      </c>
    </row>
    <row r="42" spans="1:18" s="2" customFormat="1" ht="15">
      <c r="A42" s="10" t="s">
        <v>6</v>
      </c>
      <c r="B42" s="9" t="s">
        <v>87</v>
      </c>
      <c r="C42" s="10" t="s">
        <v>88</v>
      </c>
      <c r="D42" s="4">
        <v>28.75</v>
      </c>
      <c r="E42" s="28">
        <v>2011</v>
      </c>
      <c r="F42" s="26">
        <v>4084</v>
      </c>
      <c r="G42" s="26">
        <v>6490</v>
      </c>
      <c r="H42" s="26">
        <v>3580</v>
      </c>
      <c r="I42" s="26">
        <v>5604</v>
      </c>
      <c r="J42" s="26">
        <v>4439</v>
      </c>
      <c r="K42" s="26"/>
      <c r="L42" s="26"/>
      <c r="M42" s="26"/>
      <c r="N42" s="26"/>
      <c r="O42" s="26"/>
      <c r="P42" s="26"/>
      <c r="Q42" s="26"/>
      <c r="R42" s="18">
        <f t="shared" si="0"/>
        <v>24197</v>
      </c>
    </row>
    <row r="43" spans="1:18" s="2" customFormat="1" ht="15">
      <c r="A43" s="10" t="s">
        <v>89</v>
      </c>
      <c r="B43" s="9" t="s">
        <v>90</v>
      </c>
      <c r="C43" s="10" t="s">
        <v>91</v>
      </c>
      <c r="D43" s="4">
        <v>2.9</v>
      </c>
      <c r="E43" s="28">
        <v>2013</v>
      </c>
      <c r="F43" s="26">
        <v>516</v>
      </c>
      <c r="G43" s="26">
        <v>563</v>
      </c>
      <c r="H43" s="26">
        <v>574</v>
      </c>
      <c r="I43" s="26">
        <v>488</v>
      </c>
      <c r="J43" s="26">
        <v>377</v>
      </c>
      <c r="K43" s="26"/>
      <c r="L43" s="26"/>
      <c r="M43" s="26"/>
      <c r="N43" s="26"/>
      <c r="O43" s="26"/>
      <c r="P43" s="26"/>
      <c r="Q43" s="26"/>
      <c r="R43" s="18">
        <f t="shared" si="0"/>
        <v>2518</v>
      </c>
    </row>
    <row r="44" spans="1:18" s="2" customFormat="1" ht="15">
      <c r="A44" s="10" t="s">
        <v>89</v>
      </c>
      <c r="B44" s="9" t="s">
        <v>92</v>
      </c>
      <c r="C44" s="10" t="s">
        <v>93</v>
      </c>
      <c r="D44" s="4">
        <v>8.11</v>
      </c>
      <c r="E44" s="28">
        <v>2013</v>
      </c>
      <c r="F44" s="26">
        <v>1464</v>
      </c>
      <c r="G44" s="26">
        <v>1598</v>
      </c>
      <c r="H44" s="26">
        <v>1540</v>
      </c>
      <c r="I44" s="26">
        <v>1493</v>
      </c>
      <c r="J44" s="26">
        <v>1119</v>
      </c>
      <c r="K44" s="26"/>
      <c r="L44" s="26"/>
      <c r="M44" s="26"/>
      <c r="N44" s="26"/>
      <c r="O44" s="26"/>
      <c r="P44" s="26"/>
      <c r="Q44" s="26"/>
      <c r="R44" s="18">
        <f t="shared" si="0"/>
        <v>7214</v>
      </c>
    </row>
    <row r="45" spans="1:18" s="2" customFormat="1" ht="15">
      <c r="A45" s="10" t="s">
        <v>89</v>
      </c>
      <c r="B45" s="9" t="s">
        <v>94</v>
      </c>
      <c r="C45" s="10" t="s">
        <v>95</v>
      </c>
      <c r="D45" s="4">
        <v>13.73</v>
      </c>
      <c r="E45" s="28">
        <v>2013</v>
      </c>
      <c r="F45" s="26">
        <v>2465</v>
      </c>
      <c r="G45" s="26">
        <v>2898</v>
      </c>
      <c r="H45" s="26">
        <v>3087</v>
      </c>
      <c r="I45" s="26">
        <v>2815</v>
      </c>
      <c r="J45" s="26">
        <v>2119</v>
      </c>
      <c r="K45" s="26"/>
      <c r="L45" s="26"/>
      <c r="M45" s="26"/>
      <c r="N45" s="26"/>
      <c r="O45" s="26"/>
      <c r="P45" s="26"/>
      <c r="Q45" s="26"/>
      <c r="R45" s="18">
        <f t="shared" si="0"/>
        <v>13384</v>
      </c>
    </row>
    <row r="46" spans="1:18" s="2" customFormat="1" ht="15">
      <c r="A46" s="10" t="s">
        <v>89</v>
      </c>
      <c r="B46" s="9" t="s">
        <v>96</v>
      </c>
      <c r="C46" s="10" t="s">
        <v>97</v>
      </c>
      <c r="D46" s="4">
        <v>18.97</v>
      </c>
      <c r="E46" s="28">
        <v>2013</v>
      </c>
      <c r="F46" s="26">
        <v>3686</v>
      </c>
      <c r="G46" s="26">
        <v>4223</v>
      </c>
      <c r="H46" s="26">
        <v>4071</v>
      </c>
      <c r="I46" s="26">
        <v>3747</v>
      </c>
      <c r="J46" s="26">
        <v>3009</v>
      </c>
      <c r="K46" s="26"/>
      <c r="L46" s="26"/>
      <c r="M46" s="26"/>
      <c r="N46" s="26"/>
      <c r="O46" s="26"/>
      <c r="P46" s="26"/>
      <c r="Q46" s="26"/>
      <c r="R46" s="18">
        <f t="shared" si="0"/>
        <v>18736</v>
      </c>
    </row>
    <row r="47" spans="1:18" s="2" customFormat="1" ht="15">
      <c r="A47" s="10" t="s">
        <v>89</v>
      </c>
      <c r="B47" s="9" t="s">
        <v>98</v>
      </c>
      <c r="C47" s="10" t="s">
        <v>99</v>
      </c>
      <c r="D47" s="4">
        <v>20.11</v>
      </c>
      <c r="E47" s="28">
        <v>2013</v>
      </c>
      <c r="F47" s="26">
        <v>3170</v>
      </c>
      <c r="G47" s="26">
        <v>4322</v>
      </c>
      <c r="H47" s="26">
        <v>4251</v>
      </c>
      <c r="I47" s="26">
        <v>3891</v>
      </c>
      <c r="J47" s="26">
        <v>3422</v>
      </c>
      <c r="K47" s="26"/>
      <c r="L47" s="26"/>
      <c r="M47" s="26"/>
      <c r="N47" s="26"/>
      <c r="O47" s="26"/>
      <c r="P47" s="26"/>
      <c r="Q47" s="26"/>
      <c r="R47" s="18">
        <f t="shared" si="0"/>
        <v>19056</v>
      </c>
    </row>
    <row r="48" spans="1:18" s="2" customFormat="1" ht="15">
      <c r="A48" s="10" t="s">
        <v>89</v>
      </c>
      <c r="B48" s="9" t="s">
        <v>100</v>
      </c>
      <c r="C48" s="10" t="s">
        <v>101</v>
      </c>
      <c r="D48" s="4">
        <v>19.7</v>
      </c>
      <c r="E48" s="28">
        <v>2013</v>
      </c>
      <c r="F48" s="26">
        <v>3892</v>
      </c>
      <c r="G48" s="26">
        <v>4284</v>
      </c>
      <c r="H48" s="26">
        <v>4175</v>
      </c>
      <c r="I48" s="26">
        <v>3841</v>
      </c>
      <c r="J48" s="26">
        <v>3227</v>
      </c>
      <c r="K48" s="26"/>
      <c r="L48" s="26"/>
      <c r="M48" s="26"/>
      <c r="N48" s="26"/>
      <c r="O48" s="26"/>
      <c r="P48" s="26"/>
      <c r="Q48" s="26"/>
      <c r="R48" s="18">
        <f t="shared" si="0"/>
        <v>19419</v>
      </c>
    </row>
    <row r="49" spans="1:18" s="2" customFormat="1" ht="15">
      <c r="A49" s="10" t="s">
        <v>89</v>
      </c>
      <c r="B49" s="9" t="s">
        <v>102</v>
      </c>
      <c r="C49" s="10" t="s">
        <v>103</v>
      </c>
      <c r="D49" s="4">
        <v>15.78</v>
      </c>
      <c r="E49" s="28">
        <v>2013</v>
      </c>
      <c r="F49" s="26">
        <v>2584</v>
      </c>
      <c r="G49" s="26">
        <v>3207</v>
      </c>
      <c r="H49" s="26">
        <v>3122</v>
      </c>
      <c r="I49" s="26">
        <v>2791</v>
      </c>
      <c r="J49" s="26">
        <v>2708</v>
      </c>
      <c r="K49" s="26"/>
      <c r="L49" s="26"/>
      <c r="M49" s="26"/>
      <c r="N49" s="26"/>
      <c r="O49" s="26"/>
      <c r="P49" s="26"/>
      <c r="Q49" s="26"/>
      <c r="R49" s="18">
        <f t="shared" si="0"/>
        <v>14412</v>
      </c>
    </row>
    <row r="50" spans="1:18" s="2" customFormat="1" ht="15">
      <c r="A50" s="10" t="s">
        <v>89</v>
      </c>
      <c r="B50" s="9" t="s">
        <v>104</v>
      </c>
      <c r="C50" s="10" t="s">
        <v>105</v>
      </c>
      <c r="D50" s="4">
        <v>15.24</v>
      </c>
      <c r="E50" s="28">
        <v>2013</v>
      </c>
      <c r="F50" s="26">
        <v>2632</v>
      </c>
      <c r="G50" s="26">
        <v>3082</v>
      </c>
      <c r="H50" s="26">
        <v>3164</v>
      </c>
      <c r="I50" s="26">
        <v>2642</v>
      </c>
      <c r="J50" s="26">
        <v>3019</v>
      </c>
      <c r="K50" s="26"/>
      <c r="L50" s="26"/>
      <c r="M50" s="26"/>
      <c r="N50" s="26"/>
      <c r="O50" s="26"/>
      <c r="P50" s="26"/>
      <c r="Q50" s="26"/>
      <c r="R50" s="18">
        <f t="shared" si="0"/>
        <v>14539</v>
      </c>
    </row>
    <row r="51" spans="1:18" s="2" customFormat="1" ht="15">
      <c r="A51" s="10" t="s">
        <v>89</v>
      </c>
      <c r="B51" s="9" t="s">
        <v>106</v>
      </c>
      <c r="C51" s="10" t="s">
        <v>107</v>
      </c>
      <c r="D51" s="4">
        <v>13.99</v>
      </c>
      <c r="E51" s="28">
        <v>2013</v>
      </c>
      <c r="F51" s="26">
        <v>2604</v>
      </c>
      <c r="G51" s="26">
        <v>3163</v>
      </c>
      <c r="H51" s="26">
        <v>3167</v>
      </c>
      <c r="I51" s="26">
        <v>2648</v>
      </c>
      <c r="J51" s="26">
        <v>2634</v>
      </c>
      <c r="K51" s="26"/>
      <c r="L51" s="26"/>
      <c r="M51" s="26"/>
      <c r="N51" s="26"/>
      <c r="O51" s="26"/>
      <c r="P51" s="26"/>
      <c r="Q51" s="26"/>
      <c r="R51" s="18">
        <f t="shared" si="0"/>
        <v>14216</v>
      </c>
    </row>
    <row r="52" spans="1:18" s="2" customFormat="1" ht="15">
      <c r="A52" s="10" t="s">
        <v>89</v>
      </c>
      <c r="B52" s="9" t="s">
        <v>108</v>
      </c>
      <c r="C52" s="10" t="s">
        <v>109</v>
      </c>
      <c r="D52" s="4">
        <v>6.19</v>
      </c>
      <c r="E52" s="28">
        <v>2014</v>
      </c>
      <c r="F52" s="26">
        <v>1149</v>
      </c>
      <c r="G52" s="26">
        <v>1201</v>
      </c>
      <c r="H52" s="26">
        <v>1139</v>
      </c>
      <c r="I52" s="26">
        <v>1044</v>
      </c>
      <c r="J52" s="26">
        <v>851</v>
      </c>
      <c r="K52" s="26"/>
      <c r="L52" s="26"/>
      <c r="M52" s="26"/>
      <c r="N52" s="26"/>
      <c r="O52" s="26"/>
      <c r="P52" s="26"/>
      <c r="Q52" s="26"/>
      <c r="R52" s="18">
        <f t="shared" si="0"/>
        <v>5384</v>
      </c>
    </row>
    <row r="53" spans="1:18" s="2" customFormat="1" ht="15">
      <c r="A53" s="10" t="s">
        <v>89</v>
      </c>
      <c r="B53" s="9" t="s">
        <v>110</v>
      </c>
      <c r="C53" s="10" t="s">
        <v>111</v>
      </c>
      <c r="D53" s="4">
        <v>12.1</v>
      </c>
      <c r="E53" s="28">
        <v>2014</v>
      </c>
      <c r="F53" s="26">
        <v>2012</v>
      </c>
      <c r="G53" s="26">
        <v>2307</v>
      </c>
      <c r="H53" s="26">
        <v>2278</v>
      </c>
      <c r="I53" s="26">
        <v>2107</v>
      </c>
      <c r="J53" s="26">
        <v>1725</v>
      </c>
      <c r="K53" s="26"/>
      <c r="L53" s="26"/>
      <c r="M53" s="26"/>
      <c r="N53" s="26"/>
      <c r="O53" s="26"/>
      <c r="P53" s="26"/>
      <c r="Q53" s="26"/>
      <c r="R53" s="18">
        <f t="shared" si="0"/>
        <v>10429</v>
      </c>
    </row>
    <row r="54" spans="1:18" s="2" customFormat="1" ht="15">
      <c r="A54" s="10" t="s">
        <v>89</v>
      </c>
      <c r="B54" s="9" t="s">
        <v>112</v>
      </c>
      <c r="C54" s="10" t="s">
        <v>113</v>
      </c>
      <c r="D54" s="4">
        <v>16.170000000000002</v>
      </c>
      <c r="E54" s="28">
        <v>2014</v>
      </c>
      <c r="F54" s="26">
        <v>3220</v>
      </c>
      <c r="G54" s="26">
        <v>3766</v>
      </c>
      <c r="H54" s="26">
        <v>3321</v>
      </c>
      <c r="I54" s="26">
        <v>3344</v>
      </c>
      <c r="J54" s="26">
        <v>2404</v>
      </c>
      <c r="K54" s="26"/>
      <c r="L54" s="26"/>
      <c r="M54" s="26"/>
      <c r="N54" s="26"/>
      <c r="O54" s="26"/>
      <c r="P54" s="26"/>
      <c r="Q54" s="26"/>
      <c r="R54" s="18">
        <f t="shared" si="0"/>
        <v>16055</v>
      </c>
    </row>
    <row r="55" spans="1:18" s="2" customFormat="1" ht="15">
      <c r="A55" s="10" t="s">
        <v>89</v>
      </c>
      <c r="B55" s="9" t="s">
        <v>114</v>
      </c>
      <c r="C55" s="10" t="s">
        <v>115</v>
      </c>
      <c r="D55" s="4">
        <v>1.8</v>
      </c>
      <c r="E55" s="29">
        <v>2013</v>
      </c>
      <c r="F55" s="26">
        <v>402</v>
      </c>
      <c r="G55" s="26">
        <v>239</v>
      </c>
      <c r="H55" s="26">
        <v>246</v>
      </c>
      <c r="I55" s="26">
        <v>334</v>
      </c>
      <c r="J55" s="26">
        <v>122</v>
      </c>
      <c r="K55" s="26"/>
      <c r="L55" s="26"/>
      <c r="M55" s="26"/>
      <c r="N55" s="26"/>
      <c r="O55" s="26"/>
      <c r="P55" s="26"/>
      <c r="Q55" s="26"/>
      <c r="R55" s="18">
        <f t="shared" si="0"/>
        <v>1343</v>
      </c>
    </row>
    <row r="56" spans="1:18" s="2" customFormat="1" ht="15">
      <c r="A56" s="10" t="s">
        <v>89</v>
      </c>
      <c r="B56" s="9" t="s">
        <v>116</v>
      </c>
      <c r="C56" s="10" t="s">
        <v>117</v>
      </c>
      <c r="D56" s="4">
        <v>11.94</v>
      </c>
      <c r="E56" s="29">
        <v>2014</v>
      </c>
      <c r="F56" s="26">
        <v>2501</v>
      </c>
      <c r="G56" s="26">
        <v>2623</v>
      </c>
      <c r="H56" s="26">
        <v>2756</v>
      </c>
      <c r="I56" s="26">
        <v>2088</v>
      </c>
      <c r="J56" s="26">
        <v>1437</v>
      </c>
      <c r="K56" s="26"/>
      <c r="L56" s="26"/>
      <c r="M56" s="26"/>
      <c r="N56" s="26"/>
      <c r="O56" s="26"/>
      <c r="P56" s="26"/>
      <c r="Q56" s="26"/>
      <c r="R56" s="18">
        <f t="shared" si="0"/>
        <v>11405</v>
      </c>
    </row>
    <row r="57" spans="1:18" s="2" customFormat="1" ht="15">
      <c r="A57" s="10" t="s">
        <v>89</v>
      </c>
      <c r="B57" s="9" t="s">
        <v>118</v>
      </c>
      <c r="C57" s="10" t="s">
        <v>119</v>
      </c>
      <c r="D57" s="4">
        <v>5.65</v>
      </c>
      <c r="E57" s="29">
        <v>2014</v>
      </c>
      <c r="F57" s="26">
        <v>889</v>
      </c>
      <c r="G57" s="26">
        <v>910</v>
      </c>
      <c r="H57" s="26">
        <v>731</v>
      </c>
      <c r="I57" s="26">
        <v>870</v>
      </c>
      <c r="J57" s="26">
        <v>489</v>
      </c>
      <c r="K57" s="26"/>
      <c r="L57" s="26"/>
      <c r="M57" s="26"/>
      <c r="N57" s="26"/>
      <c r="O57" s="26"/>
      <c r="P57" s="26"/>
      <c r="Q57" s="26"/>
      <c r="R57" s="18">
        <f t="shared" si="0"/>
        <v>3889</v>
      </c>
    </row>
    <row r="58" spans="1:18" s="2" customFormat="1" ht="15">
      <c r="A58" s="10" t="s">
        <v>89</v>
      </c>
      <c r="B58" s="9" t="s">
        <v>120</v>
      </c>
      <c r="C58" s="10" t="s">
        <v>121</v>
      </c>
      <c r="D58" s="4">
        <v>14.5</v>
      </c>
      <c r="E58" s="29">
        <v>2013</v>
      </c>
      <c r="F58" s="26">
        <v>2637</v>
      </c>
      <c r="G58" s="26">
        <v>3232</v>
      </c>
      <c r="H58" s="26">
        <v>2940</v>
      </c>
      <c r="I58" s="26">
        <v>2123</v>
      </c>
      <c r="J58" s="26">
        <v>1724</v>
      </c>
      <c r="K58" s="26"/>
      <c r="L58" s="26"/>
      <c r="M58" s="26"/>
      <c r="N58" s="26"/>
      <c r="O58" s="26"/>
      <c r="P58" s="26"/>
      <c r="Q58" s="26"/>
      <c r="R58" s="18">
        <f t="shared" si="0"/>
        <v>12656</v>
      </c>
    </row>
    <row r="59" spans="1:18" s="2" customFormat="1" ht="15">
      <c r="A59" s="10" t="s">
        <v>89</v>
      </c>
      <c r="B59" s="9" t="s">
        <v>122</v>
      </c>
      <c r="C59" s="10" t="s">
        <v>123</v>
      </c>
      <c r="D59" s="4">
        <v>9.76</v>
      </c>
      <c r="E59" s="29">
        <v>2014</v>
      </c>
      <c r="F59" s="26">
        <v>1134</v>
      </c>
      <c r="G59" s="26">
        <v>1232</v>
      </c>
      <c r="H59" s="26">
        <v>1138</v>
      </c>
      <c r="I59" s="26">
        <v>844</v>
      </c>
      <c r="J59" s="26">
        <v>1151</v>
      </c>
      <c r="K59" s="26"/>
      <c r="L59" s="26"/>
      <c r="M59" s="26"/>
      <c r="N59" s="26"/>
      <c r="O59" s="26"/>
      <c r="P59" s="26"/>
      <c r="Q59" s="26"/>
      <c r="R59" s="18">
        <f t="shared" si="0"/>
        <v>5499</v>
      </c>
    </row>
    <row r="60" spans="1:18" s="2" customFormat="1" ht="15">
      <c r="A60" s="10" t="s">
        <v>89</v>
      </c>
      <c r="B60" s="9" t="s">
        <v>124</v>
      </c>
      <c r="C60" s="10" t="s">
        <v>125</v>
      </c>
      <c r="D60" s="4">
        <v>11.17</v>
      </c>
      <c r="E60" s="29">
        <v>2013</v>
      </c>
      <c r="F60" s="26">
        <v>2356</v>
      </c>
      <c r="G60" s="26">
        <v>2476</v>
      </c>
      <c r="H60" s="26">
        <v>2436</v>
      </c>
      <c r="I60" s="26">
        <v>1525</v>
      </c>
      <c r="J60" s="26">
        <v>2437</v>
      </c>
      <c r="K60" s="26"/>
      <c r="L60" s="26"/>
      <c r="M60" s="26"/>
      <c r="N60" s="26"/>
      <c r="O60" s="26"/>
      <c r="P60" s="26"/>
      <c r="Q60" s="26"/>
      <c r="R60" s="18">
        <f t="shared" si="0"/>
        <v>11230</v>
      </c>
    </row>
    <row r="61" spans="1:18" s="2" customFormat="1" ht="15">
      <c r="A61" s="10" t="s">
        <v>89</v>
      </c>
      <c r="B61" s="9" t="s">
        <v>126</v>
      </c>
      <c r="C61" s="10" t="s">
        <v>127</v>
      </c>
      <c r="D61" s="4">
        <v>8.92</v>
      </c>
      <c r="E61" s="29">
        <v>2014</v>
      </c>
      <c r="F61" s="26">
        <v>1267</v>
      </c>
      <c r="G61" s="26">
        <v>1241</v>
      </c>
      <c r="H61" s="26">
        <v>1017</v>
      </c>
      <c r="I61" s="26">
        <v>969</v>
      </c>
      <c r="J61" s="26">
        <v>1268</v>
      </c>
      <c r="K61" s="26"/>
      <c r="L61" s="26"/>
      <c r="M61" s="26"/>
      <c r="N61" s="26"/>
      <c r="O61" s="26"/>
      <c r="P61" s="26"/>
      <c r="Q61" s="26"/>
      <c r="R61" s="18">
        <f t="shared" si="0"/>
        <v>5762</v>
      </c>
    </row>
    <row r="62" spans="1:18" s="2" customFormat="1" ht="15">
      <c r="A62" s="10" t="s">
        <v>89</v>
      </c>
      <c r="B62" s="9" t="s">
        <v>128</v>
      </c>
      <c r="C62" s="10" t="s">
        <v>129</v>
      </c>
      <c r="D62" s="4">
        <v>11.39</v>
      </c>
      <c r="E62" s="29">
        <v>2013</v>
      </c>
      <c r="F62" s="26">
        <v>2149</v>
      </c>
      <c r="G62" s="26">
        <v>2334</v>
      </c>
      <c r="H62" s="26">
        <v>2408</v>
      </c>
      <c r="I62" s="26">
        <v>1994</v>
      </c>
      <c r="J62" s="26">
        <v>2006</v>
      </c>
      <c r="K62" s="26"/>
      <c r="L62" s="26"/>
      <c r="M62" s="26"/>
      <c r="N62" s="26"/>
      <c r="O62" s="26"/>
      <c r="P62" s="26"/>
      <c r="Q62" s="26"/>
      <c r="R62" s="18">
        <f t="shared" si="0"/>
        <v>10891</v>
      </c>
    </row>
    <row r="63" spans="1:18" s="2" customFormat="1" ht="15">
      <c r="A63" s="10" t="s">
        <v>89</v>
      </c>
      <c r="B63" s="9" t="s">
        <v>130</v>
      </c>
      <c r="C63" s="10" t="s">
        <v>131</v>
      </c>
      <c r="D63" s="4">
        <v>20.83</v>
      </c>
      <c r="E63" s="29">
        <v>2013</v>
      </c>
      <c r="F63" s="26">
        <v>3714</v>
      </c>
      <c r="G63" s="26">
        <v>4475</v>
      </c>
      <c r="H63" s="26">
        <v>3058</v>
      </c>
      <c r="I63" s="26">
        <v>3265</v>
      </c>
      <c r="J63" s="26">
        <v>3576</v>
      </c>
      <c r="K63" s="26"/>
      <c r="L63" s="26"/>
      <c r="M63" s="26"/>
      <c r="N63" s="26"/>
      <c r="O63" s="26"/>
      <c r="P63" s="26"/>
      <c r="Q63" s="26"/>
      <c r="R63" s="18">
        <f t="shared" si="0"/>
        <v>18088</v>
      </c>
    </row>
    <row r="64" spans="1:18" s="2" customFormat="1" ht="15">
      <c r="A64" s="10" t="s">
        <v>89</v>
      </c>
      <c r="B64" s="9" t="s">
        <v>132</v>
      </c>
      <c r="C64" s="10" t="s">
        <v>133</v>
      </c>
      <c r="D64" s="4">
        <v>22.01</v>
      </c>
      <c r="E64" s="29">
        <v>2013</v>
      </c>
      <c r="F64" s="26">
        <v>4075</v>
      </c>
      <c r="G64" s="26">
        <v>5513</v>
      </c>
      <c r="H64" s="26">
        <v>3607</v>
      </c>
      <c r="I64" s="26">
        <v>3486</v>
      </c>
      <c r="J64" s="26">
        <v>3918</v>
      </c>
      <c r="K64" s="26"/>
      <c r="L64" s="26"/>
      <c r="M64" s="26"/>
      <c r="N64" s="26"/>
      <c r="O64" s="26"/>
      <c r="P64" s="26"/>
      <c r="Q64" s="26"/>
      <c r="R64" s="18">
        <f t="shared" si="0"/>
        <v>20599</v>
      </c>
    </row>
    <row r="65" spans="1:18" s="2" customFormat="1" ht="15">
      <c r="A65" s="10" t="s">
        <v>89</v>
      </c>
      <c r="B65" s="9" t="s">
        <v>134</v>
      </c>
      <c r="C65" s="10" t="s">
        <v>135</v>
      </c>
      <c r="D65" s="4">
        <v>16.87</v>
      </c>
      <c r="E65" s="29">
        <v>2013</v>
      </c>
      <c r="F65" s="26">
        <v>2868</v>
      </c>
      <c r="G65" s="26">
        <v>3911</v>
      </c>
      <c r="H65" s="26">
        <v>2584</v>
      </c>
      <c r="I65" s="26">
        <v>2819</v>
      </c>
      <c r="J65" s="26">
        <v>3221</v>
      </c>
      <c r="K65" s="26"/>
      <c r="L65" s="26"/>
      <c r="M65" s="26"/>
      <c r="N65" s="26"/>
      <c r="O65" s="26"/>
      <c r="P65" s="26"/>
      <c r="Q65" s="26"/>
      <c r="R65" s="18">
        <f t="shared" si="0"/>
        <v>15403</v>
      </c>
    </row>
    <row r="66" spans="1:18" s="2" customFormat="1" ht="15">
      <c r="A66" s="10" t="s">
        <v>89</v>
      </c>
      <c r="B66" s="9" t="s">
        <v>136</v>
      </c>
      <c r="C66" s="10" t="s">
        <v>137</v>
      </c>
      <c r="D66" s="4">
        <v>14.05</v>
      </c>
      <c r="E66" s="29">
        <v>2014</v>
      </c>
      <c r="F66" s="26">
        <v>2406</v>
      </c>
      <c r="G66" s="26">
        <v>3271</v>
      </c>
      <c r="H66" s="26">
        <v>2172</v>
      </c>
      <c r="I66" s="26">
        <v>2215</v>
      </c>
      <c r="J66" s="26">
        <v>2391</v>
      </c>
      <c r="K66" s="26"/>
      <c r="L66" s="26"/>
      <c r="M66" s="26"/>
      <c r="N66" s="26"/>
      <c r="O66" s="26"/>
      <c r="P66" s="26"/>
      <c r="Q66" s="26"/>
      <c r="R66" s="18">
        <f t="shared" si="0"/>
        <v>12455</v>
      </c>
    </row>
    <row r="67" spans="1:18" s="2" customFormat="1" ht="15">
      <c r="A67" s="10" t="s">
        <v>89</v>
      </c>
      <c r="B67" s="9" t="s">
        <v>138</v>
      </c>
      <c r="C67" s="10" t="s">
        <v>139</v>
      </c>
      <c r="D67" s="4">
        <v>2.4500000000000002</v>
      </c>
      <c r="E67" s="29">
        <v>2013</v>
      </c>
      <c r="F67" s="26">
        <v>376</v>
      </c>
      <c r="G67" s="26">
        <v>568</v>
      </c>
      <c r="H67" s="26">
        <v>639</v>
      </c>
      <c r="I67" s="26">
        <v>354</v>
      </c>
      <c r="J67" s="26">
        <v>406</v>
      </c>
      <c r="K67" s="26"/>
      <c r="L67" s="26"/>
      <c r="M67" s="26"/>
      <c r="N67" s="26"/>
      <c r="O67" s="26"/>
      <c r="P67" s="26"/>
      <c r="Q67" s="26"/>
      <c r="R67" s="18">
        <f t="shared" ref="R67:R130" si="1">SUM(F67:Q67)</f>
        <v>2343</v>
      </c>
    </row>
    <row r="68" spans="1:18" s="2" customFormat="1" ht="15">
      <c r="A68" s="10" t="s">
        <v>89</v>
      </c>
      <c r="B68" s="9" t="s">
        <v>140</v>
      </c>
      <c r="C68" s="10" t="s">
        <v>141</v>
      </c>
      <c r="D68" s="4">
        <v>11.43</v>
      </c>
      <c r="E68" s="28">
        <v>2014</v>
      </c>
      <c r="F68" s="26">
        <v>1957</v>
      </c>
      <c r="G68" s="26">
        <v>2783</v>
      </c>
      <c r="H68" s="26">
        <v>1584</v>
      </c>
      <c r="I68" s="26">
        <v>1892</v>
      </c>
      <c r="J68" s="26">
        <v>1964</v>
      </c>
      <c r="K68" s="26"/>
      <c r="L68" s="26"/>
      <c r="M68" s="26"/>
      <c r="N68" s="26"/>
      <c r="O68" s="26"/>
      <c r="P68" s="26"/>
      <c r="Q68" s="26"/>
      <c r="R68" s="18">
        <f t="shared" si="1"/>
        <v>10180</v>
      </c>
    </row>
    <row r="69" spans="1:18" s="2" customFormat="1" ht="15">
      <c r="A69" s="10" t="s">
        <v>89</v>
      </c>
      <c r="B69" s="9" t="s">
        <v>142</v>
      </c>
      <c r="C69" s="10" t="s">
        <v>143</v>
      </c>
      <c r="D69" s="4">
        <v>9.64</v>
      </c>
      <c r="E69" s="28">
        <v>2014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/>
      <c r="L69" s="26"/>
      <c r="M69" s="26"/>
      <c r="N69" s="26"/>
      <c r="O69" s="26"/>
      <c r="P69" s="26"/>
      <c r="Q69" s="26"/>
      <c r="R69" s="18">
        <f t="shared" si="1"/>
        <v>0</v>
      </c>
    </row>
    <row r="70" spans="1:18" s="2" customFormat="1" ht="15">
      <c r="A70" s="10" t="s">
        <v>89</v>
      </c>
      <c r="B70" s="9" t="s">
        <v>144</v>
      </c>
      <c r="C70" s="10" t="s">
        <v>145</v>
      </c>
      <c r="D70" s="4">
        <v>12.84</v>
      </c>
      <c r="E70" s="28">
        <v>2014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/>
      <c r="L70" s="26"/>
      <c r="M70" s="26"/>
      <c r="N70" s="26"/>
      <c r="O70" s="26"/>
      <c r="P70" s="26"/>
      <c r="Q70" s="26"/>
      <c r="R70" s="18">
        <f t="shared" si="1"/>
        <v>0</v>
      </c>
    </row>
    <row r="71" spans="1:18" s="2" customFormat="1" ht="15">
      <c r="A71" s="10" t="s">
        <v>89</v>
      </c>
      <c r="B71" s="9" t="s">
        <v>146</v>
      </c>
      <c r="C71" s="10" t="s">
        <v>147</v>
      </c>
      <c r="D71" s="4">
        <v>17.38</v>
      </c>
      <c r="E71" s="28">
        <v>2013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/>
      <c r="L71" s="26"/>
      <c r="M71" s="26"/>
      <c r="N71" s="26"/>
      <c r="O71" s="26"/>
      <c r="P71" s="26"/>
      <c r="Q71" s="26"/>
      <c r="R71" s="18">
        <f t="shared" si="1"/>
        <v>0</v>
      </c>
    </row>
    <row r="72" spans="1:18" s="2" customFormat="1" ht="15">
      <c r="A72" s="10" t="s">
        <v>89</v>
      </c>
      <c r="B72" s="9" t="s">
        <v>148</v>
      </c>
      <c r="C72" s="10" t="s">
        <v>149</v>
      </c>
      <c r="D72" s="4">
        <v>18.41</v>
      </c>
      <c r="E72" s="28">
        <v>2013</v>
      </c>
      <c r="F72" s="26">
        <v>1861</v>
      </c>
      <c r="G72" s="26">
        <v>1867</v>
      </c>
      <c r="H72" s="26">
        <v>1975</v>
      </c>
      <c r="I72" s="26">
        <v>1418</v>
      </c>
      <c r="J72" s="26">
        <v>1784</v>
      </c>
      <c r="K72" s="26"/>
      <c r="L72" s="26"/>
      <c r="M72" s="26"/>
      <c r="N72" s="26"/>
      <c r="O72" s="26"/>
      <c r="P72" s="26"/>
      <c r="Q72" s="26"/>
      <c r="R72" s="18">
        <f t="shared" si="1"/>
        <v>8905</v>
      </c>
    </row>
    <row r="73" spans="1:18" s="2" customFormat="1" ht="15">
      <c r="A73" s="10" t="s">
        <v>89</v>
      </c>
      <c r="B73" s="9" t="s">
        <v>150</v>
      </c>
      <c r="C73" s="10" t="s">
        <v>151</v>
      </c>
      <c r="D73" s="4">
        <v>14.5</v>
      </c>
      <c r="E73" s="28">
        <v>2013</v>
      </c>
      <c r="F73" s="26">
        <v>2755</v>
      </c>
      <c r="G73" s="26">
        <v>3207</v>
      </c>
      <c r="H73" s="26">
        <v>3119</v>
      </c>
      <c r="I73" s="26">
        <v>2356</v>
      </c>
      <c r="J73" s="26">
        <v>2846</v>
      </c>
      <c r="K73" s="26"/>
      <c r="L73" s="26"/>
      <c r="M73" s="26"/>
      <c r="N73" s="26"/>
      <c r="O73" s="26"/>
      <c r="P73" s="26"/>
      <c r="Q73" s="26"/>
      <c r="R73" s="18">
        <f t="shared" si="1"/>
        <v>14283</v>
      </c>
    </row>
    <row r="74" spans="1:18" s="2" customFormat="1" ht="15">
      <c r="A74" s="10" t="s">
        <v>89</v>
      </c>
      <c r="B74" s="9" t="s">
        <v>152</v>
      </c>
      <c r="C74" s="10" t="s">
        <v>153</v>
      </c>
      <c r="D74" s="4">
        <v>16.829999999999998</v>
      </c>
      <c r="E74" s="28">
        <v>2013</v>
      </c>
      <c r="F74" s="26">
        <v>3007</v>
      </c>
      <c r="G74" s="26">
        <v>3217</v>
      </c>
      <c r="H74" s="26">
        <v>3219</v>
      </c>
      <c r="I74" s="26">
        <v>2243</v>
      </c>
      <c r="J74" s="26">
        <v>2895</v>
      </c>
      <c r="K74" s="26"/>
      <c r="L74" s="26"/>
      <c r="M74" s="26"/>
      <c r="N74" s="26"/>
      <c r="O74" s="26"/>
      <c r="P74" s="26"/>
      <c r="Q74" s="26"/>
      <c r="R74" s="18">
        <f t="shared" si="1"/>
        <v>14581</v>
      </c>
    </row>
    <row r="75" spans="1:18" s="2" customFormat="1" ht="15">
      <c r="A75" s="10" t="s">
        <v>89</v>
      </c>
      <c r="B75" s="9" t="s">
        <v>154</v>
      </c>
      <c r="C75" s="10" t="s">
        <v>155</v>
      </c>
      <c r="D75" s="4">
        <v>16.510000000000002</v>
      </c>
      <c r="E75" s="28">
        <v>2014</v>
      </c>
      <c r="F75" s="26">
        <v>2966</v>
      </c>
      <c r="G75" s="26">
        <v>3452</v>
      </c>
      <c r="H75" s="26">
        <v>3597</v>
      </c>
      <c r="I75" s="26">
        <v>2470</v>
      </c>
      <c r="J75" s="26">
        <v>3479</v>
      </c>
      <c r="K75" s="26"/>
      <c r="L75" s="26"/>
      <c r="M75" s="26"/>
      <c r="N75" s="26"/>
      <c r="O75" s="26"/>
      <c r="P75" s="26"/>
      <c r="Q75" s="26"/>
      <c r="R75" s="18">
        <f t="shared" si="1"/>
        <v>15964</v>
      </c>
    </row>
    <row r="76" spans="1:18" s="2" customFormat="1" ht="15">
      <c r="A76" s="10" t="s">
        <v>89</v>
      </c>
      <c r="B76" s="9" t="s">
        <v>156</v>
      </c>
      <c r="C76" s="10" t="s">
        <v>157</v>
      </c>
      <c r="D76" s="4">
        <v>8.64</v>
      </c>
      <c r="E76" s="28">
        <v>2014</v>
      </c>
      <c r="F76" s="26">
        <v>1182</v>
      </c>
      <c r="G76" s="26">
        <v>1485</v>
      </c>
      <c r="H76" s="26">
        <v>1592</v>
      </c>
      <c r="I76" s="26">
        <v>1177</v>
      </c>
      <c r="J76" s="26">
        <v>1601</v>
      </c>
      <c r="K76" s="26"/>
      <c r="L76" s="26"/>
      <c r="M76" s="26"/>
      <c r="N76" s="26"/>
      <c r="O76" s="26"/>
      <c r="P76" s="26"/>
      <c r="Q76" s="26"/>
      <c r="R76" s="18">
        <f t="shared" si="1"/>
        <v>7037</v>
      </c>
    </row>
    <row r="77" spans="1:18" s="2" customFormat="1" ht="15">
      <c r="A77" s="10" t="s">
        <v>89</v>
      </c>
      <c r="B77" s="9" t="s">
        <v>158</v>
      </c>
      <c r="C77" s="10" t="s">
        <v>159</v>
      </c>
      <c r="D77" s="4">
        <v>15.15</v>
      </c>
      <c r="E77" s="28">
        <v>2014</v>
      </c>
      <c r="F77" s="26">
        <v>2311</v>
      </c>
      <c r="G77" s="26">
        <v>2679</v>
      </c>
      <c r="H77" s="26">
        <v>3243</v>
      </c>
      <c r="I77" s="26">
        <v>2269</v>
      </c>
      <c r="J77" s="26">
        <v>3255</v>
      </c>
      <c r="K77" s="26"/>
      <c r="L77" s="26"/>
      <c r="M77" s="26"/>
      <c r="N77" s="26"/>
      <c r="O77" s="26"/>
      <c r="P77" s="26"/>
      <c r="Q77" s="26"/>
      <c r="R77" s="18">
        <f t="shared" si="1"/>
        <v>13757</v>
      </c>
    </row>
    <row r="78" spans="1:18" s="2" customFormat="1" ht="15">
      <c r="A78" s="10" t="s">
        <v>89</v>
      </c>
      <c r="B78" s="9" t="s">
        <v>160</v>
      </c>
      <c r="C78" s="10" t="s">
        <v>161</v>
      </c>
      <c r="D78" s="4">
        <v>21.97</v>
      </c>
      <c r="E78" s="28">
        <v>2014</v>
      </c>
      <c r="F78" s="26">
        <v>2998</v>
      </c>
      <c r="G78" s="26">
        <v>3511</v>
      </c>
      <c r="H78" s="26">
        <v>4244</v>
      </c>
      <c r="I78" s="26">
        <v>3215</v>
      </c>
      <c r="J78" s="26">
        <v>4483</v>
      </c>
      <c r="K78" s="26"/>
      <c r="L78" s="26"/>
      <c r="M78" s="26"/>
      <c r="N78" s="26"/>
      <c r="O78" s="26"/>
      <c r="P78" s="26"/>
      <c r="Q78" s="26"/>
      <c r="R78" s="18">
        <f t="shared" si="1"/>
        <v>18451</v>
      </c>
    </row>
    <row r="79" spans="1:18" s="2" customFormat="1" ht="15">
      <c r="A79" s="10" t="s">
        <v>89</v>
      </c>
      <c r="B79" s="9" t="s">
        <v>162</v>
      </c>
      <c r="C79" s="10" t="s">
        <v>163</v>
      </c>
      <c r="D79" s="4">
        <v>18.100000000000001</v>
      </c>
      <c r="E79" s="28">
        <v>2014</v>
      </c>
      <c r="F79" s="26">
        <v>2466</v>
      </c>
      <c r="G79" s="26">
        <v>2901</v>
      </c>
      <c r="H79" s="26">
        <v>3228</v>
      </c>
      <c r="I79" s="26">
        <v>2842</v>
      </c>
      <c r="J79" s="26">
        <v>3070</v>
      </c>
      <c r="K79" s="26"/>
      <c r="L79" s="26"/>
      <c r="M79" s="26"/>
      <c r="N79" s="26"/>
      <c r="O79" s="26"/>
      <c r="P79" s="26"/>
      <c r="Q79" s="26"/>
      <c r="R79" s="18">
        <f t="shared" si="1"/>
        <v>14507</v>
      </c>
    </row>
    <row r="80" spans="1:18" s="2" customFormat="1" ht="15">
      <c r="A80" s="10" t="s">
        <v>89</v>
      </c>
      <c r="B80" s="9" t="s">
        <v>164</v>
      </c>
      <c r="C80" s="10" t="s">
        <v>165</v>
      </c>
      <c r="D80" s="4">
        <v>20.149999999999999</v>
      </c>
      <c r="E80" s="28">
        <v>2014</v>
      </c>
      <c r="F80" s="26">
        <v>3316</v>
      </c>
      <c r="G80" s="26">
        <v>3584</v>
      </c>
      <c r="H80" s="26">
        <v>4205</v>
      </c>
      <c r="I80" s="26">
        <v>3972</v>
      </c>
      <c r="J80" s="26">
        <v>3341</v>
      </c>
      <c r="K80" s="26"/>
      <c r="L80" s="26"/>
      <c r="M80" s="26"/>
      <c r="N80" s="26"/>
      <c r="O80" s="26"/>
      <c r="P80" s="26"/>
      <c r="Q80" s="26"/>
      <c r="R80" s="18">
        <f t="shared" si="1"/>
        <v>18418</v>
      </c>
    </row>
    <row r="81" spans="1:18" s="2" customFormat="1" ht="15">
      <c r="A81" s="10" t="s">
        <v>89</v>
      </c>
      <c r="B81" s="9" t="s">
        <v>166</v>
      </c>
      <c r="C81" s="10" t="s">
        <v>167</v>
      </c>
      <c r="D81" s="4">
        <v>20.3</v>
      </c>
      <c r="E81" s="28">
        <v>2014</v>
      </c>
      <c r="F81" s="26">
        <v>3496</v>
      </c>
      <c r="G81" s="26">
        <v>3977</v>
      </c>
      <c r="H81" s="26">
        <v>4407</v>
      </c>
      <c r="I81" s="26">
        <v>4398</v>
      </c>
      <c r="J81" s="26">
        <v>3553</v>
      </c>
      <c r="K81" s="26"/>
      <c r="L81" s="26"/>
      <c r="M81" s="26"/>
      <c r="N81" s="26"/>
      <c r="O81" s="26"/>
      <c r="P81" s="26"/>
      <c r="Q81" s="26"/>
      <c r="R81" s="18">
        <f t="shared" si="1"/>
        <v>19831</v>
      </c>
    </row>
    <row r="82" spans="1:18" s="2" customFormat="1" ht="15">
      <c r="A82" s="10" t="s">
        <v>89</v>
      </c>
      <c r="B82" s="9" t="s">
        <v>168</v>
      </c>
      <c r="C82" s="10" t="s">
        <v>169</v>
      </c>
      <c r="D82" s="4">
        <v>16.600000000000001</v>
      </c>
      <c r="E82" s="28">
        <v>2014</v>
      </c>
      <c r="F82" s="26">
        <v>3127</v>
      </c>
      <c r="G82" s="26">
        <v>4046</v>
      </c>
      <c r="H82" s="26">
        <v>3347</v>
      </c>
      <c r="I82" s="26">
        <v>3460</v>
      </c>
      <c r="J82" s="26">
        <v>2802</v>
      </c>
      <c r="K82" s="26"/>
      <c r="L82" s="26"/>
      <c r="M82" s="26"/>
      <c r="N82" s="26"/>
      <c r="O82" s="26"/>
      <c r="P82" s="26"/>
      <c r="Q82" s="26"/>
      <c r="R82" s="18">
        <f t="shared" si="1"/>
        <v>16782</v>
      </c>
    </row>
    <row r="83" spans="1:18" s="2" customFormat="1" ht="15">
      <c r="A83" s="10" t="s">
        <v>89</v>
      </c>
      <c r="B83" s="9" t="s">
        <v>170</v>
      </c>
      <c r="C83" s="10" t="s">
        <v>171</v>
      </c>
      <c r="D83" s="4">
        <v>11.94</v>
      </c>
      <c r="E83" s="28">
        <v>2014</v>
      </c>
      <c r="F83" s="26">
        <v>2149</v>
      </c>
      <c r="G83" s="26">
        <v>2993</v>
      </c>
      <c r="H83" s="26">
        <v>2134</v>
      </c>
      <c r="I83" s="26">
        <v>2709</v>
      </c>
      <c r="J83" s="26">
        <v>2226</v>
      </c>
      <c r="K83" s="26"/>
      <c r="L83" s="26"/>
      <c r="M83" s="26"/>
      <c r="N83" s="26"/>
      <c r="O83" s="26"/>
      <c r="P83" s="26"/>
      <c r="Q83" s="26"/>
      <c r="R83" s="18">
        <f t="shared" si="1"/>
        <v>12211</v>
      </c>
    </row>
    <row r="84" spans="1:18" s="2" customFormat="1" ht="15">
      <c r="A84" s="10" t="s">
        <v>89</v>
      </c>
      <c r="B84" s="9" t="s">
        <v>172</v>
      </c>
      <c r="C84" s="10" t="s">
        <v>173</v>
      </c>
      <c r="D84" s="4">
        <v>14.6</v>
      </c>
      <c r="E84" s="28">
        <v>2014</v>
      </c>
      <c r="F84" s="26">
        <v>2525</v>
      </c>
      <c r="G84" s="26">
        <v>3696</v>
      </c>
      <c r="H84" s="26">
        <v>2486</v>
      </c>
      <c r="I84" s="26">
        <v>3141</v>
      </c>
      <c r="J84" s="26">
        <v>2620</v>
      </c>
      <c r="K84" s="26"/>
      <c r="L84" s="26"/>
      <c r="M84" s="26"/>
      <c r="N84" s="26"/>
      <c r="O84" s="26"/>
      <c r="P84" s="26"/>
      <c r="Q84" s="26"/>
      <c r="R84" s="18">
        <f t="shared" si="1"/>
        <v>14468</v>
      </c>
    </row>
    <row r="85" spans="1:18" s="2" customFormat="1" ht="15">
      <c r="A85" s="10" t="s">
        <v>89</v>
      </c>
      <c r="B85" s="9" t="s">
        <v>174</v>
      </c>
      <c r="C85" s="10" t="s">
        <v>175</v>
      </c>
      <c r="D85" s="4">
        <v>1.4</v>
      </c>
      <c r="E85" s="28">
        <v>2014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/>
      <c r="L85" s="26"/>
      <c r="M85" s="26"/>
      <c r="N85" s="26"/>
      <c r="O85" s="26"/>
      <c r="P85" s="26"/>
      <c r="Q85" s="26"/>
      <c r="R85" s="18">
        <f t="shared" si="1"/>
        <v>0</v>
      </c>
    </row>
    <row r="86" spans="1:18" s="2" customFormat="1" ht="15">
      <c r="A86" s="10" t="s">
        <v>89</v>
      </c>
      <c r="B86" s="9" t="s">
        <v>176</v>
      </c>
      <c r="C86" s="10" t="s">
        <v>177</v>
      </c>
      <c r="D86" s="4">
        <v>13.72</v>
      </c>
      <c r="E86" s="28">
        <v>2014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/>
      <c r="L86" s="26"/>
      <c r="M86" s="26"/>
      <c r="N86" s="26"/>
      <c r="O86" s="26"/>
      <c r="P86" s="26"/>
      <c r="Q86" s="26"/>
      <c r="R86" s="18">
        <f t="shared" si="1"/>
        <v>0</v>
      </c>
    </row>
    <row r="87" spans="1:18" s="2" customFormat="1" ht="15">
      <c r="A87" s="10" t="s">
        <v>89</v>
      </c>
      <c r="B87" s="9" t="s">
        <v>178</v>
      </c>
      <c r="C87" s="10" t="s">
        <v>179</v>
      </c>
      <c r="D87" s="4">
        <v>11.31</v>
      </c>
      <c r="E87" s="28">
        <v>2014</v>
      </c>
      <c r="F87" s="26">
        <v>2349</v>
      </c>
      <c r="G87" s="26">
        <v>2396</v>
      </c>
      <c r="H87" s="26">
        <v>2300</v>
      </c>
      <c r="I87" s="26">
        <v>1558</v>
      </c>
      <c r="J87" s="26">
        <v>1839</v>
      </c>
      <c r="K87" s="26"/>
      <c r="L87" s="26"/>
      <c r="M87" s="26"/>
      <c r="N87" s="26"/>
      <c r="O87" s="26"/>
      <c r="P87" s="26"/>
      <c r="Q87" s="26"/>
      <c r="R87" s="18">
        <f t="shared" si="1"/>
        <v>10442</v>
      </c>
    </row>
    <row r="88" spans="1:18" s="2" customFormat="1" ht="15">
      <c r="A88" s="10" t="s">
        <v>89</v>
      </c>
      <c r="B88" s="9" t="s">
        <v>180</v>
      </c>
      <c r="C88" s="10" t="s">
        <v>181</v>
      </c>
      <c r="D88" s="4">
        <v>10.47</v>
      </c>
      <c r="E88" s="28">
        <v>2014</v>
      </c>
      <c r="F88" s="26">
        <v>1898</v>
      </c>
      <c r="G88" s="26">
        <v>1942</v>
      </c>
      <c r="H88" s="26">
        <v>1977</v>
      </c>
      <c r="I88" s="26">
        <v>1499</v>
      </c>
      <c r="J88" s="26">
        <v>1966</v>
      </c>
      <c r="K88" s="26"/>
      <c r="L88" s="26"/>
      <c r="M88" s="26"/>
      <c r="N88" s="26"/>
      <c r="O88" s="26"/>
      <c r="P88" s="26"/>
      <c r="Q88" s="26"/>
      <c r="R88" s="18">
        <f t="shared" si="1"/>
        <v>9282</v>
      </c>
    </row>
    <row r="89" spans="1:18" s="2" customFormat="1" ht="15">
      <c r="A89" s="10" t="s">
        <v>89</v>
      </c>
      <c r="B89" s="9" t="s">
        <v>182</v>
      </c>
      <c r="C89" s="10" t="s">
        <v>183</v>
      </c>
      <c r="D89" s="4">
        <v>10.39</v>
      </c>
      <c r="E89" s="28">
        <v>2014</v>
      </c>
      <c r="F89" s="26">
        <v>2007</v>
      </c>
      <c r="G89" s="26">
        <v>2218</v>
      </c>
      <c r="H89" s="26">
        <v>2117</v>
      </c>
      <c r="I89" s="26">
        <v>1574</v>
      </c>
      <c r="J89" s="26">
        <v>1985</v>
      </c>
      <c r="K89" s="26"/>
      <c r="L89" s="26"/>
      <c r="M89" s="26"/>
      <c r="N89" s="26"/>
      <c r="O89" s="26"/>
      <c r="P89" s="26"/>
      <c r="Q89" s="26"/>
      <c r="R89" s="18">
        <f t="shared" si="1"/>
        <v>9901</v>
      </c>
    </row>
    <row r="90" spans="1:18" s="2" customFormat="1" ht="15">
      <c r="A90" s="10" t="s">
        <v>89</v>
      </c>
      <c r="B90" s="9" t="s">
        <v>184</v>
      </c>
      <c r="C90" s="10" t="s">
        <v>185</v>
      </c>
      <c r="D90" s="4">
        <v>6.47</v>
      </c>
      <c r="E90" s="28">
        <v>2014</v>
      </c>
      <c r="F90" s="26">
        <v>1183</v>
      </c>
      <c r="G90" s="26">
        <v>1200</v>
      </c>
      <c r="H90" s="26">
        <v>1189</v>
      </c>
      <c r="I90" s="26">
        <v>974</v>
      </c>
      <c r="J90" s="26">
        <v>1112</v>
      </c>
      <c r="K90" s="26"/>
      <c r="L90" s="26"/>
      <c r="M90" s="26"/>
      <c r="N90" s="26"/>
      <c r="O90" s="26"/>
      <c r="P90" s="26"/>
      <c r="Q90" s="26"/>
      <c r="R90" s="18">
        <f t="shared" si="1"/>
        <v>5658</v>
      </c>
    </row>
    <row r="91" spans="1:18" s="2" customFormat="1" ht="15">
      <c r="A91" s="10" t="s">
        <v>89</v>
      </c>
      <c r="B91" s="9" t="s">
        <v>186</v>
      </c>
      <c r="C91" s="10" t="s">
        <v>187</v>
      </c>
      <c r="D91" s="4">
        <v>7.45</v>
      </c>
      <c r="E91" s="28">
        <v>2014</v>
      </c>
      <c r="F91" s="26">
        <v>1469</v>
      </c>
      <c r="G91" s="26">
        <v>1518</v>
      </c>
      <c r="H91" s="26">
        <v>1204</v>
      </c>
      <c r="I91" s="26">
        <v>1628</v>
      </c>
      <c r="J91" s="26">
        <v>1372</v>
      </c>
      <c r="K91" s="26"/>
      <c r="L91" s="26"/>
      <c r="M91" s="26"/>
      <c r="N91" s="26"/>
      <c r="O91" s="26"/>
      <c r="P91" s="26"/>
      <c r="Q91" s="26"/>
      <c r="R91" s="18">
        <f t="shared" si="1"/>
        <v>7191</v>
      </c>
    </row>
    <row r="92" spans="1:18" s="2" customFormat="1" ht="15">
      <c r="A92" s="10" t="s">
        <v>89</v>
      </c>
      <c r="B92" s="9" t="s">
        <v>188</v>
      </c>
      <c r="C92" s="10" t="s">
        <v>189</v>
      </c>
      <c r="D92" s="4">
        <v>13.09</v>
      </c>
      <c r="E92" s="28">
        <v>2014</v>
      </c>
      <c r="F92" s="26">
        <v>2579</v>
      </c>
      <c r="G92" s="26">
        <v>2813</v>
      </c>
      <c r="H92" s="26">
        <v>1993</v>
      </c>
      <c r="I92" s="26">
        <v>2633</v>
      </c>
      <c r="J92" s="26">
        <v>2223</v>
      </c>
      <c r="K92" s="26"/>
      <c r="L92" s="26"/>
      <c r="M92" s="26"/>
      <c r="N92" s="26"/>
      <c r="O92" s="26"/>
      <c r="P92" s="26"/>
      <c r="Q92" s="26"/>
      <c r="R92" s="18">
        <f t="shared" si="1"/>
        <v>12241</v>
      </c>
    </row>
    <row r="93" spans="1:18" s="2" customFormat="1" ht="15">
      <c r="A93" s="10" t="s">
        <v>89</v>
      </c>
      <c r="B93" s="9" t="s">
        <v>190</v>
      </c>
      <c r="C93" s="10" t="s">
        <v>191</v>
      </c>
      <c r="D93" s="4">
        <v>15.33</v>
      </c>
      <c r="E93" s="28">
        <v>2014</v>
      </c>
      <c r="F93" s="26">
        <v>3344</v>
      </c>
      <c r="G93" s="26">
        <v>3583</v>
      </c>
      <c r="H93" s="26">
        <v>2734</v>
      </c>
      <c r="I93" s="26">
        <v>3380</v>
      </c>
      <c r="J93" s="26">
        <v>2626</v>
      </c>
      <c r="K93" s="26"/>
      <c r="L93" s="26"/>
      <c r="M93" s="26"/>
      <c r="N93" s="26"/>
      <c r="O93" s="26"/>
      <c r="P93" s="26"/>
      <c r="Q93" s="26"/>
      <c r="R93" s="18">
        <f t="shared" si="1"/>
        <v>15667</v>
      </c>
    </row>
    <row r="94" spans="1:18" s="2" customFormat="1" ht="15">
      <c r="A94" s="10" t="s">
        <v>89</v>
      </c>
      <c r="B94" s="9" t="s">
        <v>192</v>
      </c>
      <c r="C94" s="10" t="s">
        <v>193</v>
      </c>
      <c r="D94" s="4">
        <v>11.8</v>
      </c>
      <c r="E94" s="28">
        <v>2014</v>
      </c>
      <c r="F94" s="26">
        <v>2519</v>
      </c>
      <c r="G94" s="26">
        <v>2772</v>
      </c>
      <c r="H94" s="26">
        <v>2127</v>
      </c>
      <c r="I94" s="26">
        <v>2681</v>
      </c>
      <c r="J94" s="26">
        <v>2147</v>
      </c>
      <c r="K94" s="26"/>
      <c r="L94" s="26"/>
      <c r="M94" s="26"/>
      <c r="N94" s="26"/>
      <c r="O94" s="26"/>
      <c r="P94" s="26"/>
      <c r="Q94" s="26"/>
      <c r="R94" s="18">
        <f t="shared" si="1"/>
        <v>12246</v>
      </c>
    </row>
    <row r="95" spans="1:18" s="2" customFormat="1" ht="15">
      <c r="A95" s="10" t="s">
        <v>89</v>
      </c>
      <c r="B95" s="9" t="s">
        <v>194</v>
      </c>
      <c r="C95" s="10" t="s">
        <v>195</v>
      </c>
      <c r="D95" s="4">
        <v>14.29</v>
      </c>
      <c r="E95" s="28">
        <v>2014</v>
      </c>
      <c r="F95" s="26">
        <v>2664</v>
      </c>
      <c r="G95" s="26">
        <v>3477</v>
      </c>
      <c r="H95" s="26">
        <v>2616</v>
      </c>
      <c r="I95" s="26">
        <v>3027</v>
      </c>
      <c r="J95" s="26">
        <v>2616</v>
      </c>
      <c r="K95" s="26"/>
      <c r="L95" s="26"/>
      <c r="M95" s="26"/>
      <c r="N95" s="26"/>
      <c r="O95" s="26"/>
      <c r="P95" s="26"/>
      <c r="Q95" s="26"/>
      <c r="R95" s="18">
        <f t="shared" si="1"/>
        <v>14400</v>
      </c>
    </row>
    <row r="96" spans="1:18" s="2" customFormat="1" ht="15">
      <c r="A96" s="10" t="s">
        <v>89</v>
      </c>
      <c r="B96" s="9">
        <v>193</v>
      </c>
      <c r="C96" s="10" t="s">
        <v>196</v>
      </c>
      <c r="D96" s="4">
        <v>1.96</v>
      </c>
      <c r="E96" s="28">
        <v>2014</v>
      </c>
      <c r="F96" s="26">
        <v>232</v>
      </c>
      <c r="G96" s="26">
        <v>191</v>
      </c>
      <c r="H96" s="26">
        <v>221</v>
      </c>
      <c r="I96" s="26">
        <v>248</v>
      </c>
      <c r="J96" s="26">
        <v>146</v>
      </c>
      <c r="K96" s="26"/>
      <c r="L96" s="26"/>
      <c r="M96" s="26"/>
      <c r="N96" s="26"/>
      <c r="O96" s="26"/>
      <c r="P96" s="26"/>
      <c r="Q96" s="26"/>
      <c r="R96" s="18">
        <f t="shared" si="1"/>
        <v>1038</v>
      </c>
    </row>
    <row r="97" spans="1:18" s="2" customFormat="1" ht="15">
      <c r="A97" s="10" t="s">
        <v>89</v>
      </c>
      <c r="B97" s="9">
        <v>243</v>
      </c>
      <c r="C97" s="10" t="s">
        <v>197</v>
      </c>
      <c r="D97" s="4">
        <v>1.24</v>
      </c>
      <c r="E97" s="28">
        <v>2015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/>
      <c r="L97" s="26"/>
      <c r="M97" s="26"/>
      <c r="N97" s="26"/>
      <c r="O97" s="26"/>
      <c r="P97" s="26"/>
      <c r="Q97" s="26"/>
      <c r="R97" s="18">
        <f t="shared" si="1"/>
        <v>0</v>
      </c>
    </row>
    <row r="98" spans="1:18" s="2" customFormat="1" ht="15">
      <c r="A98" s="10" t="s">
        <v>89</v>
      </c>
      <c r="B98" s="9" t="s">
        <v>198</v>
      </c>
      <c r="C98" s="10" t="s">
        <v>199</v>
      </c>
      <c r="D98" s="4">
        <v>18.91</v>
      </c>
      <c r="E98" s="28">
        <v>2013</v>
      </c>
      <c r="F98" s="26">
        <v>3847</v>
      </c>
      <c r="G98" s="26">
        <v>4407</v>
      </c>
      <c r="H98" s="26">
        <v>4484</v>
      </c>
      <c r="I98" s="26">
        <v>3900</v>
      </c>
      <c r="J98" s="26">
        <v>3874</v>
      </c>
      <c r="K98" s="26"/>
      <c r="L98" s="26"/>
      <c r="M98" s="26"/>
      <c r="N98" s="26"/>
      <c r="O98" s="26"/>
      <c r="P98" s="26"/>
      <c r="Q98" s="26"/>
      <c r="R98" s="18">
        <f t="shared" si="1"/>
        <v>20512</v>
      </c>
    </row>
    <row r="99" spans="1:18" s="2" customFormat="1" ht="15">
      <c r="A99" s="10" t="s">
        <v>89</v>
      </c>
      <c r="B99" s="9" t="s">
        <v>200</v>
      </c>
      <c r="C99" s="10" t="s">
        <v>201</v>
      </c>
      <c r="D99" s="4">
        <v>22.69</v>
      </c>
      <c r="E99" s="28">
        <v>2014</v>
      </c>
      <c r="F99" s="26">
        <v>3942</v>
      </c>
      <c r="G99" s="26">
        <v>4365</v>
      </c>
      <c r="H99" s="26">
        <v>4389</v>
      </c>
      <c r="I99" s="26">
        <v>3452</v>
      </c>
      <c r="J99" s="26">
        <v>3987</v>
      </c>
      <c r="K99" s="26"/>
      <c r="L99" s="26"/>
      <c r="M99" s="26"/>
      <c r="N99" s="26"/>
      <c r="O99" s="26"/>
      <c r="P99" s="26"/>
      <c r="Q99" s="26"/>
      <c r="R99" s="18">
        <f t="shared" si="1"/>
        <v>20135</v>
      </c>
    </row>
    <row r="100" spans="1:18" s="2" customFormat="1" ht="15">
      <c r="A100" s="10" t="s">
        <v>89</v>
      </c>
      <c r="B100" s="9" t="s">
        <v>202</v>
      </c>
      <c r="C100" s="10" t="s">
        <v>203</v>
      </c>
      <c r="D100" s="4">
        <v>21.85</v>
      </c>
      <c r="E100" s="28">
        <v>2014</v>
      </c>
      <c r="F100" s="26">
        <v>4575</v>
      </c>
      <c r="G100" s="26">
        <v>5965</v>
      </c>
      <c r="H100" s="26">
        <v>4023</v>
      </c>
      <c r="I100" s="26">
        <v>4711</v>
      </c>
      <c r="J100" s="26">
        <v>3694</v>
      </c>
      <c r="K100" s="26"/>
      <c r="L100" s="26"/>
      <c r="M100" s="26"/>
      <c r="N100" s="26"/>
      <c r="O100" s="26"/>
      <c r="P100" s="26"/>
      <c r="Q100" s="26"/>
      <c r="R100" s="18">
        <f t="shared" si="1"/>
        <v>22968</v>
      </c>
    </row>
    <row r="101" spans="1:18" s="2" customFormat="1" ht="15">
      <c r="A101" s="10" t="s">
        <v>89</v>
      </c>
      <c r="B101" s="9" t="s">
        <v>204</v>
      </c>
      <c r="C101" s="10" t="s">
        <v>205</v>
      </c>
      <c r="D101" s="4">
        <v>22.27</v>
      </c>
      <c r="E101" s="28">
        <v>2014</v>
      </c>
      <c r="F101" s="26">
        <v>3157</v>
      </c>
      <c r="G101" s="26">
        <v>4634</v>
      </c>
      <c r="H101" s="26">
        <v>3182</v>
      </c>
      <c r="I101" s="26">
        <v>3862</v>
      </c>
      <c r="J101" s="26">
        <v>3306</v>
      </c>
      <c r="K101" s="26"/>
      <c r="L101" s="26"/>
      <c r="M101" s="26"/>
      <c r="N101" s="26"/>
      <c r="O101" s="26"/>
      <c r="P101" s="26"/>
      <c r="Q101" s="26"/>
      <c r="R101" s="18">
        <f t="shared" si="1"/>
        <v>18141</v>
      </c>
    </row>
    <row r="102" spans="1:18" s="2" customFormat="1" ht="15">
      <c r="A102" s="10" t="s">
        <v>89</v>
      </c>
      <c r="B102" s="9">
        <v>276</v>
      </c>
      <c r="C102" s="10" t="s">
        <v>109</v>
      </c>
      <c r="D102" s="4">
        <v>0.95</v>
      </c>
      <c r="E102" s="28">
        <v>2022</v>
      </c>
      <c r="F102" s="26">
        <v>207</v>
      </c>
      <c r="G102" s="26">
        <v>299</v>
      </c>
      <c r="H102" s="26">
        <v>248</v>
      </c>
      <c r="I102" s="26">
        <v>285</v>
      </c>
      <c r="J102" s="26">
        <v>255</v>
      </c>
      <c r="K102" s="26"/>
      <c r="L102" s="26"/>
      <c r="M102" s="26"/>
      <c r="N102" s="26"/>
      <c r="O102" s="26"/>
      <c r="P102" s="26"/>
      <c r="Q102" s="26"/>
      <c r="R102" s="18">
        <f t="shared" si="1"/>
        <v>1294</v>
      </c>
    </row>
    <row r="103" spans="1:18" s="2" customFormat="1" ht="15">
      <c r="A103" s="10" t="s">
        <v>89</v>
      </c>
      <c r="B103" s="9">
        <v>293</v>
      </c>
      <c r="C103" s="10" t="s">
        <v>196</v>
      </c>
      <c r="D103" s="4">
        <v>3.57</v>
      </c>
      <c r="E103" s="28">
        <v>2022</v>
      </c>
      <c r="F103" s="26">
        <v>797</v>
      </c>
      <c r="G103" s="26">
        <v>828</v>
      </c>
      <c r="H103" s="26">
        <v>894</v>
      </c>
      <c r="I103" s="26">
        <v>823</v>
      </c>
      <c r="J103" s="26">
        <v>698</v>
      </c>
      <c r="K103" s="26"/>
      <c r="L103" s="26"/>
      <c r="M103" s="26"/>
      <c r="N103" s="26"/>
      <c r="O103" s="26"/>
      <c r="P103" s="26"/>
      <c r="Q103" s="26"/>
      <c r="R103" s="18">
        <f t="shared" si="1"/>
        <v>4040</v>
      </c>
    </row>
    <row r="104" spans="1:18" s="2" customFormat="1" ht="15">
      <c r="A104" s="10" t="s">
        <v>206</v>
      </c>
      <c r="B104" s="9" t="s">
        <v>207</v>
      </c>
      <c r="C104" s="10" t="s">
        <v>208</v>
      </c>
      <c r="D104" s="4">
        <v>20.9</v>
      </c>
      <c r="E104" s="28">
        <v>2014</v>
      </c>
      <c r="F104" s="26">
        <v>4433</v>
      </c>
      <c r="G104" s="26">
        <v>4951</v>
      </c>
      <c r="H104" s="26">
        <v>4402</v>
      </c>
      <c r="I104" s="26">
        <v>3796</v>
      </c>
      <c r="J104" s="26">
        <v>3988</v>
      </c>
      <c r="K104" s="26"/>
      <c r="L104" s="26"/>
      <c r="M104" s="26"/>
      <c r="N104" s="26"/>
      <c r="O104" s="26"/>
      <c r="P104" s="26"/>
      <c r="Q104" s="26"/>
      <c r="R104" s="18">
        <f t="shared" si="1"/>
        <v>21570</v>
      </c>
    </row>
    <row r="105" spans="1:18" s="2" customFormat="1" ht="15">
      <c r="A105" s="10" t="s">
        <v>206</v>
      </c>
      <c r="B105" s="9" t="s">
        <v>209</v>
      </c>
      <c r="C105" s="10" t="s">
        <v>210</v>
      </c>
      <c r="D105" s="4">
        <v>21.54</v>
      </c>
      <c r="E105" s="28">
        <v>2014</v>
      </c>
      <c r="F105" s="26">
        <v>4487</v>
      </c>
      <c r="G105" s="26">
        <v>4462</v>
      </c>
      <c r="H105" s="26">
        <v>4767</v>
      </c>
      <c r="I105" s="26">
        <v>3712</v>
      </c>
      <c r="J105" s="26">
        <v>3716</v>
      </c>
      <c r="K105" s="26"/>
      <c r="L105" s="26"/>
      <c r="M105" s="26"/>
      <c r="N105" s="26"/>
      <c r="O105" s="26"/>
      <c r="P105" s="26"/>
      <c r="Q105" s="26"/>
      <c r="R105" s="18">
        <f t="shared" si="1"/>
        <v>21144</v>
      </c>
    </row>
    <row r="106" spans="1:18" s="2" customFormat="1" ht="15">
      <c r="A106" s="10" t="s">
        <v>206</v>
      </c>
      <c r="B106" s="9" t="s">
        <v>211</v>
      </c>
      <c r="C106" s="10" t="s">
        <v>212</v>
      </c>
      <c r="D106" s="4">
        <v>20.18</v>
      </c>
      <c r="E106" s="28">
        <v>2014</v>
      </c>
      <c r="F106" s="26">
        <v>4610</v>
      </c>
      <c r="G106" s="26">
        <v>4504</v>
      </c>
      <c r="H106" s="26">
        <v>4952</v>
      </c>
      <c r="I106" s="26">
        <v>3114</v>
      </c>
      <c r="J106" s="26">
        <v>3389</v>
      </c>
      <c r="K106" s="26"/>
      <c r="L106" s="26"/>
      <c r="M106" s="26"/>
      <c r="N106" s="26"/>
      <c r="O106" s="26"/>
      <c r="P106" s="26"/>
      <c r="Q106" s="26"/>
      <c r="R106" s="18">
        <f t="shared" si="1"/>
        <v>20569</v>
      </c>
    </row>
    <row r="107" spans="1:18" s="2" customFormat="1" ht="15">
      <c r="A107" s="10" t="s">
        <v>206</v>
      </c>
      <c r="B107" s="9" t="s">
        <v>213</v>
      </c>
      <c r="C107" s="10" t="s">
        <v>214</v>
      </c>
      <c r="D107" s="4">
        <v>13.33</v>
      </c>
      <c r="E107" s="28">
        <v>2014</v>
      </c>
      <c r="F107" s="26">
        <v>2454</v>
      </c>
      <c r="G107" s="26">
        <v>2553</v>
      </c>
      <c r="H107" s="26">
        <v>3015</v>
      </c>
      <c r="I107" s="26">
        <v>1923</v>
      </c>
      <c r="J107" s="26">
        <v>2038</v>
      </c>
      <c r="K107" s="26"/>
      <c r="L107" s="26"/>
      <c r="M107" s="26"/>
      <c r="N107" s="26"/>
      <c r="O107" s="26"/>
      <c r="P107" s="26"/>
      <c r="Q107" s="26"/>
      <c r="R107" s="18">
        <f t="shared" si="1"/>
        <v>11983</v>
      </c>
    </row>
    <row r="108" spans="1:18" s="2" customFormat="1" ht="15">
      <c r="A108" s="10" t="s">
        <v>206</v>
      </c>
      <c r="B108" s="9" t="s">
        <v>215</v>
      </c>
      <c r="C108" s="10" t="s">
        <v>216</v>
      </c>
      <c r="D108" s="4">
        <v>11.13</v>
      </c>
      <c r="E108" s="28">
        <v>2014</v>
      </c>
      <c r="F108" s="26">
        <v>2642</v>
      </c>
      <c r="G108" s="26">
        <v>2463</v>
      </c>
      <c r="H108" s="26">
        <v>2583</v>
      </c>
      <c r="I108" s="26">
        <v>2129</v>
      </c>
      <c r="J108" s="26">
        <v>1731</v>
      </c>
      <c r="K108" s="26"/>
      <c r="L108" s="26"/>
      <c r="M108" s="26"/>
      <c r="N108" s="26"/>
      <c r="O108" s="26"/>
      <c r="P108" s="26"/>
      <c r="Q108" s="26"/>
      <c r="R108" s="18">
        <f t="shared" si="1"/>
        <v>11548</v>
      </c>
    </row>
    <row r="109" spans="1:18" s="2" customFormat="1" ht="15">
      <c r="A109" s="10" t="s">
        <v>206</v>
      </c>
      <c r="B109" s="9" t="s">
        <v>217</v>
      </c>
      <c r="C109" s="10" t="s">
        <v>218</v>
      </c>
      <c r="D109" s="4">
        <v>5.13</v>
      </c>
      <c r="E109" s="29">
        <v>2014</v>
      </c>
      <c r="F109" s="26">
        <v>1131</v>
      </c>
      <c r="G109" s="26">
        <v>1171</v>
      </c>
      <c r="H109" s="26">
        <v>1092</v>
      </c>
      <c r="I109" s="26">
        <v>848</v>
      </c>
      <c r="J109" s="26">
        <v>803</v>
      </c>
      <c r="K109" s="26"/>
      <c r="L109" s="26"/>
      <c r="M109" s="26"/>
      <c r="N109" s="26"/>
      <c r="O109" s="26"/>
      <c r="P109" s="26"/>
      <c r="Q109" s="26"/>
      <c r="R109" s="18">
        <f t="shared" si="1"/>
        <v>5045</v>
      </c>
    </row>
    <row r="110" spans="1:18" s="2" customFormat="1" ht="15">
      <c r="A110" s="10" t="s">
        <v>206</v>
      </c>
      <c r="B110" s="9" t="s">
        <v>219</v>
      </c>
      <c r="C110" s="10" t="s">
        <v>220</v>
      </c>
      <c r="D110" s="4">
        <v>7.8</v>
      </c>
      <c r="E110" s="29">
        <v>2014</v>
      </c>
      <c r="F110" s="26">
        <v>1644</v>
      </c>
      <c r="G110" s="26">
        <v>1601</v>
      </c>
      <c r="H110" s="26">
        <v>1946</v>
      </c>
      <c r="I110" s="26">
        <v>1070</v>
      </c>
      <c r="J110" s="26">
        <v>1359</v>
      </c>
      <c r="K110" s="26"/>
      <c r="L110" s="26"/>
      <c r="M110" s="26"/>
      <c r="N110" s="26"/>
      <c r="O110" s="26"/>
      <c r="P110" s="26"/>
      <c r="Q110" s="26"/>
      <c r="R110" s="18">
        <f t="shared" si="1"/>
        <v>7620</v>
      </c>
    </row>
    <row r="111" spans="1:18" s="2" customFormat="1" ht="15">
      <c r="A111" s="10" t="s">
        <v>206</v>
      </c>
      <c r="B111" s="9" t="s">
        <v>221</v>
      </c>
      <c r="C111" s="10" t="s">
        <v>222</v>
      </c>
      <c r="D111" s="4">
        <v>1.92</v>
      </c>
      <c r="E111" s="29">
        <v>2014</v>
      </c>
      <c r="F111" s="26">
        <v>481</v>
      </c>
      <c r="G111" s="26">
        <v>555</v>
      </c>
      <c r="H111" s="26">
        <v>463</v>
      </c>
      <c r="I111" s="26">
        <v>346</v>
      </c>
      <c r="J111" s="26">
        <v>413</v>
      </c>
      <c r="K111" s="26"/>
      <c r="L111" s="26"/>
      <c r="M111" s="26"/>
      <c r="N111" s="26"/>
      <c r="O111" s="26"/>
      <c r="P111" s="26"/>
      <c r="Q111" s="26"/>
      <c r="R111" s="18">
        <f t="shared" si="1"/>
        <v>2258</v>
      </c>
    </row>
    <row r="112" spans="1:18" s="2" customFormat="1" ht="15">
      <c r="A112" s="10" t="s">
        <v>206</v>
      </c>
      <c r="B112" s="9" t="s">
        <v>223</v>
      </c>
      <c r="C112" s="10" t="s">
        <v>224</v>
      </c>
      <c r="D112" s="4">
        <v>18.62</v>
      </c>
      <c r="E112" s="29">
        <v>2013</v>
      </c>
      <c r="F112" s="26">
        <v>4077</v>
      </c>
      <c r="G112" s="26">
        <v>5138</v>
      </c>
      <c r="H112" s="26">
        <v>4193</v>
      </c>
      <c r="I112" s="26">
        <v>3313</v>
      </c>
      <c r="J112" s="26">
        <v>3709</v>
      </c>
      <c r="K112" s="26"/>
      <c r="L112" s="26"/>
      <c r="M112" s="26"/>
      <c r="N112" s="26"/>
      <c r="O112" s="26"/>
      <c r="P112" s="26"/>
      <c r="Q112" s="26"/>
      <c r="R112" s="18">
        <f t="shared" si="1"/>
        <v>20430</v>
      </c>
    </row>
    <row r="113" spans="1:18" s="2" customFormat="1" ht="15">
      <c r="A113" s="10" t="s">
        <v>206</v>
      </c>
      <c r="B113" s="9" t="s">
        <v>225</v>
      </c>
      <c r="C113" s="10" t="s">
        <v>226</v>
      </c>
      <c r="D113" s="4">
        <v>19.079999999999998</v>
      </c>
      <c r="E113" s="29">
        <v>2013</v>
      </c>
      <c r="F113" s="26">
        <v>3852</v>
      </c>
      <c r="G113" s="26">
        <v>5092</v>
      </c>
      <c r="H113" s="26">
        <v>4201</v>
      </c>
      <c r="I113" s="26">
        <v>3171</v>
      </c>
      <c r="J113" s="26">
        <v>3648</v>
      </c>
      <c r="K113" s="26"/>
      <c r="L113" s="26"/>
      <c r="M113" s="26"/>
      <c r="N113" s="26"/>
      <c r="O113" s="26"/>
      <c r="P113" s="26"/>
      <c r="Q113" s="26"/>
      <c r="R113" s="18">
        <f t="shared" si="1"/>
        <v>19964</v>
      </c>
    </row>
    <row r="114" spans="1:18" s="2" customFormat="1" ht="15">
      <c r="A114" s="10" t="s">
        <v>206</v>
      </c>
      <c r="B114" s="9" t="s">
        <v>227</v>
      </c>
      <c r="C114" s="10" t="s">
        <v>228</v>
      </c>
      <c r="D114" s="4">
        <v>18.29</v>
      </c>
      <c r="E114" s="29">
        <v>2013</v>
      </c>
      <c r="F114" s="26">
        <v>3772</v>
      </c>
      <c r="G114" s="26">
        <v>4955</v>
      </c>
      <c r="H114" s="26">
        <v>3550</v>
      </c>
      <c r="I114" s="26">
        <v>2724</v>
      </c>
      <c r="J114" s="26">
        <v>3237</v>
      </c>
      <c r="K114" s="26"/>
      <c r="L114" s="26"/>
      <c r="M114" s="26"/>
      <c r="N114" s="26"/>
      <c r="O114" s="26"/>
      <c r="P114" s="26"/>
      <c r="Q114" s="26"/>
      <c r="R114" s="18">
        <f t="shared" si="1"/>
        <v>18238</v>
      </c>
    </row>
    <row r="115" spans="1:18" s="2" customFormat="1" ht="15">
      <c r="A115" s="10" t="s">
        <v>206</v>
      </c>
      <c r="B115" s="9" t="s">
        <v>229</v>
      </c>
      <c r="C115" s="10" t="s">
        <v>230</v>
      </c>
      <c r="D115" s="4">
        <v>20.73</v>
      </c>
      <c r="E115" s="29">
        <v>2013</v>
      </c>
      <c r="F115" s="26">
        <v>3503</v>
      </c>
      <c r="G115" s="26">
        <v>5343</v>
      </c>
      <c r="H115" s="26">
        <v>3874</v>
      </c>
      <c r="I115" s="26">
        <v>3237</v>
      </c>
      <c r="J115" s="26">
        <v>3456</v>
      </c>
      <c r="K115" s="26"/>
      <c r="L115" s="26"/>
      <c r="M115" s="26"/>
      <c r="N115" s="26"/>
      <c r="O115" s="26"/>
      <c r="P115" s="26"/>
      <c r="Q115" s="26"/>
      <c r="R115" s="18">
        <f t="shared" si="1"/>
        <v>19413</v>
      </c>
    </row>
    <row r="116" spans="1:18" s="2" customFormat="1" ht="15">
      <c r="A116" s="10" t="s">
        <v>206</v>
      </c>
      <c r="B116" s="9" t="s">
        <v>231</v>
      </c>
      <c r="C116" s="10" t="s">
        <v>232</v>
      </c>
      <c r="D116" s="4">
        <v>19.010000000000002</v>
      </c>
      <c r="E116" s="29">
        <v>2013</v>
      </c>
      <c r="F116" s="26">
        <v>3141</v>
      </c>
      <c r="G116" s="26">
        <v>4325</v>
      </c>
      <c r="H116" s="26">
        <v>3289</v>
      </c>
      <c r="I116" s="26">
        <v>3012</v>
      </c>
      <c r="J116" s="26">
        <v>3154</v>
      </c>
      <c r="K116" s="26"/>
      <c r="L116" s="26"/>
      <c r="M116" s="26"/>
      <c r="N116" s="26"/>
      <c r="O116" s="26"/>
      <c r="P116" s="26"/>
      <c r="Q116" s="26"/>
      <c r="R116" s="18">
        <f t="shared" si="1"/>
        <v>16921</v>
      </c>
    </row>
    <row r="117" spans="1:18" s="2" customFormat="1" ht="15">
      <c r="A117" s="10" t="s">
        <v>206</v>
      </c>
      <c r="B117" s="9" t="s">
        <v>233</v>
      </c>
      <c r="C117" s="10" t="s">
        <v>234</v>
      </c>
      <c r="D117" s="4">
        <v>29.59</v>
      </c>
      <c r="E117" s="29">
        <v>2013</v>
      </c>
      <c r="F117" s="26">
        <v>5383</v>
      </c>
      <c r="G117" s="26">
        <v>7909</v>
      </c>
      <c r="H117" s="26">
        <v>5474</v>
      </c>
      <c r="I117" s="26">
        <v>4783</v>
      </c>
      <c r="J117" s="26">
        <v>5167</v>
      </c>
      <c r="K117" s="26"/>
      <c r="L117" s="26"/>
      <c r="M117" s="26"/>
      <c r="N117" s="26"/>
      <c r="O117" s="26"/>
      <c r="P117" s="26"/>
      <c r="Q117" s="26"/>
      <c r="R117" s="18">
        <f t="shared" si="1"/>
        <v>28716</v>
      </c>
    </row>
    <row r="118" spans="1:18" s="2" customFormat="1" ht="15">
      <c r="A118" s="10" t="s">
        <v>206</v>
      </c>
      <c r="B118" s="9" t="s">
        <v>235</v>
      </c>
      <c r="C118" s="10" t="s">
        <v>236</v>
      </c>
      <c r="D118" s="4">
        <v>29.75</v>
      </c>
      <c r="E118" s="29">
        <v>2014</v>
      </c>
      <c r="F118" s="26">
        <v>5133</v>
      </c>
      <c r="G118" s="26">
        <v>7401</v>
      </c>
      <c r="H118" s="26">
        <v>3663</v>
      </c>
      <c r="I118" s="26">
        <v>6907</v>
      </c>
      <c r="J118" s="26">
        <v>4417</v>
      </c>
      <c r="K118" s="26"/>
      <c r="L118" s="26"/>
      <c r="M118" s="26"/>
      <c r="N118" s="26"/>
      <c r="O118" s="26"/>
      <c r="P118" s="26"/>
      <c r="Q118" s="26"/>
      <c r="R118" s="18">
        <f t="shared" si="1"/>
        <v>27521</v>
      </c>
    </row>
    <row r="119" spans="1:18" s="2" customFormat="1" ht="15">
      <c r="A119" s="10" t="s">
        <v>206</v>
      </c>
      <c r="B119" s="9" t="s">
        <v>237</v>
      </c>
      <c r="C119" s="10" t="s">
        <v>238</v>
      </c>
      <c r="D119" s="4">
        <v>27.53</v>
      </c>
      <c r="E119" s="29">
        <v>2014</v>
      </c>
      <c r="F119" s="26">
        <v>5592</v>
      </c>
      <c r="G119" s="26">
        <v>5593</v>
      </c>
      <c r="H119" s="26">
        <v>6429</v>
      </c>
      <c r="I119" s="26">
        <v>6888</v>
      </c>
      <c r="J119" s="26">
        <v>4901</v>
      </c>
      <c r="K119" s="26"/>
      <c r="L119" s="26"/>
      <c r="M119" s="26"/>
      <c r="N119" s="26"/>
      <c r="O119" s="26"/>
      <c r="P119" s="26"/>
      <c r="Q119" s="26"/>
      <c r="R119" s="18">
        <f t="shared" si="1"/>
        <v>29403</v>
      </c>
    </row>
    <row r="120" spans="1:18" s="2" customFormat="1" ht="15">
      <c r="A120" s="10" t="s">
        <v>206</v>
      </c>
      <c r="B120" s="9" t="s">
        <v>239</v>
      </c>
      <c r="C120" s="10" t="s">
        <v>240</v>
      </c>
      <c r="D120" s="4">
        <v>2.5499999999999998</v>
      </c>
      <c r="E120" s="29">
        <v>2013</v>
      </c>
      <c r="F120" s="26">
        <v>535</v>
      </c>
      <c r="G120" s="26">
        <v>698</v>
      </c>
      <c r="H120" s="26">
        <v>531</v>
      </c>
      <c r="I120" s="26">
        <v>480</v>
      </c>
      <c r="J120" s="26">
        <v>391</v>
      </c>
      <c r="K120" s="26"/>
      <c r="L120" s="26"/>
      <c r="M120" s="26"/>
      <c r="N120" s="26"/>
      <c r="O120" s="26"/>
      <c r="P120" s="26"/>
      <c r="Q120" s="26"/>
      <c r="R120" s="18">
        <f t="shared" si="1"/>
        <v>2635</v>
      </c>
    </row>
    <row r="121" spans="1:18" s="2" customFormat="1" ht="15">
      <c r="A121" s="10" t="s">
        <v>206</v>
      </c>
      <c r="B121" s="9" t="s">
        <v>241</v>
      </c>
      <c r="C121" s="10" t="s">
        <v>242</v>
      </c>
      <c r="D121" s="4">
        <v>17.64</v>
      </c>
      <c r="E121" s="29">
        <v>2014</v>
      </c>
      <c r="F121" s="26">
        <v>3145</v>
      </c>
      <c r="G121" s="26">
        <v>3949</v>
      </c>
      <c r="H121" s="26">
        <v>3733</v>
      </c>
      <c r="I121" s="26">
        <v>3296</v>
      </c>
      <c r="J121" s="26">
        <v>1926</v>
      </c>
      <c r="K121" s="26"/>
      <c r="L121" s="26"/>
      <c r="M121" s="26"/>
      <c r="N121" s="26"/>
      <c r="O121" s="26"/>
      <c r="P121" s="26"/>
      <c r="Q121" s="26"/>
      <c r="R121" s="18">
        <f t="shared" si="1"/>
        <v>16049</v>
      </c>
    </row>
    <row r="122" spans="1:18" s="2" customFormat="1" ht="15">
      <c r="A122" s="10" t="s">
        <v>206</v>
      </c>
      <c r="B122" s="9" t="s">
        <v>243</v>
      </c>
      <c r="C122" s="10" t="s">
        <v>244</v>
      </c>
      <c r="D122" s="4">
        <v>3.81</v>
      </c>
      <c r="E122" s="29">
        <v>2013</v>
      </c>
      <c r="F122" s="26">
        <v>462</v>
      </c>
      <c r="G122" s="26">
        <v>639</v>
      </c>
      <c r="H122" s="26">
        <v>535</v>
      </c>
      <c r="I122" s="26">
        <v>649</v>
      </c>
      <c r="J122" s="26">
        <v>483</v>
      </c>
      <c r="K122" s="26"/>
      <c r="L122" s="26"/>
      <c r="M122" s="26"/>
      <c r="N122" s="26"/>
      <c r="O122" s="26"/>
      <c r="P122" s="26"/>
      <c r="Q122" s="26"/>
      <c r="R122" s="18">
        <f t="shared" si="1"/>
        <v>2768</v>
      </c>
    </row>
    <row r="123" spans="1:18" s="2" customFormat="1" ht="15">
      <c r="A123" s="10" t="s">
        <v>206</v>
      </c>
      <c r="B123" s="9" t="s">
        <v>245</v>
      </c>
      <c r="C123" s="10" t="s">
        <v>246</v>
      </c>
      <c r="D123" s="4">
        <v>15.59</v>
      </c>
      <c r="E123" s="28">
        <v>2014</v>
      </c>
      <c r="F123" s="26">
        <v>3177</v>
      </c>
      <c r="G123" s="26">
        <v>3622</v>
      </c>
      <c r="H123" s="26">
        <v>3747</v>
      </c>
      <c r="I123" s="26">
        <v>3123</v>
      </c>
      <c r="J123" s="26">
        <v>2000</v>
      </c>
      <c r="K123" s="26"/>
      <c r="L123" s="26"/>
      <c r="M123" s="26"/>
      <c r="N123" s="26"/>
      <c r="O123" s="26"/>
      <c r="P123" s="26"/>
      <c r="Q123" s="26"/>
      <c r="R123" s="18">
        <f t="shared" si="1"/>
        <v>15669</v>
      </c>
    </row>
    <row r="124" spans="1:18" s="2" customFormat="1" ht="15">
      <c r="A124" s="10" t="s">
        <v>206</v>
      </c>
      <c r="B124" s="9" t="s">
        <v>247</v>
      </c>
      <c r="C124" s="10" t="s">
        <v>248</v>
      </c>
      <c r="D124" s="4">
        <v>19.12</v>
      </c>
      <c r="E124" s="28">
        <v>2014</v>
      </c>
      <c r="F124" s="26">
        <v>3845</v>
      </c>
      <c r="G124" s="26">
        <v>3809</v>
      </c>
      <c r="H124" s="26">
        <v>3862</v>
      </c>
      <c r="I124" s="26">
        <v>3616</v>
      </c>
      <c r="J124" s="26">
        <v>2064</v>
      </c>
      <c r="K124" s="26"/>
      <c r="L124" s="26"/>
      <c r="M124" s="26"/>
      <c r="N124" s="26"/>
      <c r="O124" s="26"/>
      <c r="P124" s="26"/>
      <c r="Q124" s="26"/>
      <c r="R124" s="18">
        <f t="shared" si="1"/>
        <v>17196</v>
      </c>
    </row>
    <row r="125" spans="1:18" s="2" customFormat="1" ht="15">
      <c r="A125" s="10" t="s">
        <v>206</v>
      </c>
      <c r="B125" s="9" t="s">
        <v>249</v>
      </c>
      <c r="C125" s="10" t="s">
        <v>250</v>
      </c>
      <c r="D125" s="4">
        <v>22.93</v>
      </c>
      <c r="E125" s="28">
        <v>2013</v>
      </c>
      <c r="F125" s="26">
        <v>5865</v>
      </c>
      <c r="G125" s="26">
        <v>4296</v>
      </c>
      <c r="H125" s="26">
        <v>5291</v>
      </c>
      <c r="I125" s="26">
        <v>4438</v>
      </c>
      <c r="J125" s="26">
        <v>3024</v>
      </c>
      <c r="K125" s="26"/>
      <c r="L125" s="26"/>
      <c r="M125" s="26"/>
      <c r="N125" s="26"/>
      <c r="O125" s="26"/>
      <c r="P125" s="26"/>
      <c r="Q125" s="26"/>
      <c r="R125" s="18">
        <f t="shared" si="1"/>
        <v>22914</v>
      </c>
    </row>
    <row r="126" spans="1:18" s="2" customFormat="1" ht="15">
      <c r="A126" s="10" t="s">
        <v>206</v>
      </c>
      <c r="B126" s="9" t="s">
        <v>251</v>
      </c>
      <c r="C126" s="10" t="s">
        <v>252</v>
      </c>
      <c r="D126" s="4">
        <v>20.34</v>
      </c>
      <c r="E126" s="28">
        <v>2013</v>
      </c>
      <c r="F126" s="26">
        <v>5575</v>
      </c>
      <c r="G126" s="26">
        <v>4119</v>
      </c>
      <c r="H126" s="26">
        <v>4990</v>
      </c>
      <c r="I126" s="26">
        <v>4425</v>
      </c>
      <c r="J126" s="26">
        <v>3250</v>
      </c>
      <c r="K126" s="26"/>
      <c r="L126" s="26"/>
      <c r="M126" s="26"/>
      <c r="N126" s="26"/>
      <c r="O126" s="26"/>
      <c r="P126" s="26"/>
      <c r="Q126" s="26"/>
      <c r="R126" s="18">
        <f t="shared" si="1"/>
        <v>22359</v>
      </c>
    </row>
    <row r="127" spans="1:18" s="2" customFormat="1" ht="15">
      <c r="A127" s="10" t="s">
        <v>206</v>
      </c>
      <c r="B127" s="9" t="s">
        <v>253</v>
      </c>
      <c r="C127" s="10" t="s">
        <v>254</v>
      </c>
      <c r="D127" s="4">
        <v>19.87</v>
      </c>
      <c r="E127" s="29">
        <v>2014</v>
      </c>
      <c r="F127" s="26">
        <v>4422</v>
      </c>
      <c r="G127" s="26">
        <v>3320</v>
      </c>
      <c r="H127" s="26">
        <v>3886</v>
      </c>
      <c r="I127" s="26">
        <v>3544</v>
      </c>
      <c r="J127" s="26">
        <v>2586</v>
      </c>
      <c r="K127" s="26"/>
      <c r="L127" s="26"/>
      <c r="M127" s="26"/>
      <c r="N127" s="26"/>
      <c r="O127" s="26"/>
      <c r="P127" s="26"/>
      <c r="Q127" s="26"/>
      <c r="R127" s="18">
        <f t="shared" si="1"/>
        <v>17758</v>
      </c>
    </row>
    <row r="128" spans="1:18" s="2" customFormat="1" ht="15">
      <c r="A128" s="10" t="s">
        <v>206</v>
      </c>
      <c r="B128" s="9" t="s">
        <v>255</v>
      </c>
      <c r="C128" s="10" t="s">
        <v>256</v>
      </c>
      <c r="D128" s="4">
        <v>21.37</v>
      </c>
      <c r="E128" s="29">
        <v>2014</v>
      </c>
      <c r="F128" s="26">
        <v>4527</v>
      </c>
      <c r="G128" s="26">
        <v>3868</v>
      </c>
      <c r="H128" s="26">
        <v>4708</v>
      </c>
      <c r="I128" s="26">
        <v>4449</v>
      </c>
      <c r="J128" s="26">
        <v>3052</v>
      </c>
      <c r="K128" s="26"/>
      <c r="L128" s="26"/>
      <c r="M128" s="26"/>
      <c r="N128" s="26"/>
      <c r="O128" s="26"/>
      <c r="P128" s="26"/>
      <c r="Q128" s="26"/>
      <c r="R128" s="18">
        <f t="shared" si="1"/>
        <v>20604</v>
      </c>
    </row>
    <row r="129" spans="1:18" s="2" customFormat="1" ht="15">
      <c r="A129" s="10" t="s">
        <v>206</v>
      </c>
      <c r="B129" s="9" t="s">
        <v>257</v>
      </c>
      <c r="C129" s="10" t="s">
        <v>258</v>
      </c>
      <c r="D129" s="4">
        <v>21.08</v>
      </c>
      <c r="E129" s="28">
        <v>2014</v>
      </c>
      <c r="F129" s="26">
        <v>4059</v>
      </c>
      <c r="G129" s="26">
        <v>3070</v>
      </c>
      <c r="H129" s="26">
        <v>3450</v>
      </c>
      <c r="I129" s="26">
        <v>3648</v>
      </c>
      <c r="J129" s="26">
        <v>2395</v>
      </c>
      <c r="K129" s="26"/>
      <c r="L129" s="26"/>
      <c r="M129" s="26"/>
      <c r="N129" s="26"/>
      <c r="O129" s="26"/>
      <c r="P129" s="26"/>
      <c r="Q129" s="26"/>
      <c r="R129" s="18">
        <f t="shared" si="1"/>
        <v>16622</v>
      </c>
    </row>
    <row r="130" spans="1:18" s="2" customFormat="1" ht="15">
      <c r="A130" s="10" t="s">
        <v>206</v>
      </c>
      <c r="B130" s="9" t="s">
        <v>259</v>
      </c>
      <c r="C130" s="10" t="s">
        <v>260</v>
      </c>
      <c r="D130" s="4">
        <v>20.48</v>
      </c>
      <c r="E130" s="29">
        <v>2014</v>
      </c>
      <c r="F130" s="26">
        <v>4513</v>
      </c>
      <c r="G130" s="26">
        <v>3592</v>
      </c>
      <c r="H130" s="26">
        <v>4209</v>
      </c>
      <c r="I130" s="26">
        <v>4224</v>
      </c>
      <c r="J130" s="26">
        <v>3235</v>
      </c>
      <c r="K130" s="26"/>
      <c r="L130" s="26"/>
      <c r="M130" s="26"/>
      <c r="N130" s="26"/>
      <c r="O130" s="26"/>
      <c r="P130" s="26"/>
      <c r="Q130" s="26"/>
      <c r="R130" s="18">
        <f t="shared" si="1"/>
        <v>19773</v>
      </c>
    </row>
    <row r="131" spans="1:18" s="2" customFormat="1" ht="15">
      <c r="A131" s="10" t="s">
        <v>206</v>
      </c>
      <c r="B131" s="9" t="s">
        <v>261</v>
      </c>
      <c r="C131" s="10" t="s">
        <v>262</v>
      </c>
      <c r="D131" s="4">
        <v>18.84</v>
      </c>
      <c r="E131" s="29">
        <v>2014</v>
      </c>
      <c r="F131" s="26">
        <v>4154</v>
      </c>
      <c r="G131" s="26">
        <v>3945</v>
      </c>
      <c r="H131" s="26">
        <v>4456</v>
      </c>
      <c r="I131" s="26">
        <v>2642</v>
      </c>
      <c r="J131" s="26">
        <v>3014</v>
      </c>
      <c r="K131" s="26"/>
      <c r="L131" s="26"/>
      <c r="M131" s="26"/>
      <c r="N131" s="26"/>
      <c r="O131" s="26"/>
      <c r="P131" s="26"/>
      <c r="Q131" s="26"/>
      <c r="R131" s="18">
        <f t="shared" ref="R131:R194" si="2">SUM(F131:Q131)</f>
        <v>18211</v>
      </c>
    </row>
    <row r="132" spans="1:18" s="2" customFormat="1" ht="15">
      <c r="A132" s="10" t="s">
        <v>206</v>
      </c>
      <c r="B132" s="9" t="s">
        <v>263</v>
      </c>
      <c r="C132" s="10" t="s">
        <v>264</v>
      </c>
      <c r="D132" s="4">
        <v>18.350000000000001</v>
      </c>
      <c r="E132" s="29">
        <v>2014</v>
      </c>
      <c r="F132" s="26">
        <v>4295</v>
      </c>
      <c r="G132" s="26">
        <v>3661</v>
      </c>
      <c r="H132" s="26">
        <v>4350</v>
      </c>
      <c r="I132" s="26">
        <v>2274</v>
      </c>
      <c r="J132" s="26">
        <v>2819</v>
      </c>
      <c r="K132" s="26"/>
      <c r="L132" s="26"/>
      <c r="M132" s="26"/>
      <c r="N132" s="26"/>
      <c r="O132" s="26"/>
      <c r="P132" s="26"/>
      <c r="Q132" s="26"/>
      <c r="R132" s="18">
        <f t="shared" si="2"/>
        <v>17399</v>
      </c>
    </row>
    <row r="133" spans="1:18" s="2" customFormat="1" ht="15">
      <c r="A133" s="10" t="s">
        <v>206</v>
      </c>
      <c r="B133" s="9" t="s">
        <v>265</v>
      </c>
      <c r="C133" s="10" t="s">
        <v>266</v>
      </c>
      <c r="D133" s="4">
        <v>18.25</v>
      </c>
      <c r="E133" s="29">
        <v>2014</v>
      </c>
      <c r="F133" s="26">
        <v>4704</v>
      </c>
      <c r="G133" s="26">
        <v>4868</v>
      </c>
      <c r="H133" s="26">
        <v>3000</v>
      </c>
      <c r="I133" s="26">
        <v>2686</v>
      </c>
      <c r="J133" s="26">
        <v>2900</v>
      </c>
      <c r="K133" s="26"/>
      <c r="L133" s="26"/>
      <c r="M133" s="26"/>
      <c r="N133" s="26"/>
      <c r="O133" s="26"/>
      <c r="P133" s="26"/>
      <c r="Q133" s="26"/>
      <c r="R133" s="18">
        <f t="shared" si="2"/>
        <v>18158</v>
      </c>
    </row>
    <row r="134" spans="1:18" s="2" customFormat="1" ht="15">
      <c r="A134" s="10" t="s">
        <v>206</v>
      </c>
      <c r="B134" s="9" t="s">
        <v>267</v>
      </c>
      <c r="C134" s="10" t="s">
        <v>268</v>
      </c>
      <c r="D134" s="4">
        <v>5</v>
      </c>
      <c r="E134" s="29">
        <v>2014</v>
      </c>
      <c r="F134" s="26">
        <v>762</v>
      </c>
      <c r="G134" s="26">
        <v>1479</v>
      </c>
      <c r="H134" s="26">
        <v>660</v>
      </c>
      <c r="I134" s="26">
        <v>673</v>
      </c>
      <c r="J134" s="26">
        <v>1220</v>
      </c>
      <c r="K134" s="26"/>
      <c r="L134" s="26"/>
      <c r="M134" s="26"/>
      <c r="N134" s="26"/>
      <c r="O134" s="26"/>
      <c r="P134" s="26"/>
      <c r="Q134" s="26"/>
      <c r="R134" s="18">
        <f t="shared" si="2"/>
        <v>4794</v>
      </c>
    </row>
    <row r="135" spans="1:18" s="2" customFormat="1" ht="15">
      <c r="A135" s="10" t="s">
        <v>206</v>
      </c>
      <c r="B135" s="9" t="s">
        <v>269</v>
      </c>
      <c r="C135" s="10" t="s">
        <v>268</v>
      </c>
      <c r="D135" s="4">
        <v>17.38</v>
      </c>
      <c r="E135" s="29">
        <v>2013</v>
      </c>
      <c r="F135" s="26">
        <v>2767</v>
      </c>
      <c r="G135" s="26">
        <v>4837</v>
      </c>
      <c r="H135" s="26">
        <v>2902</v>
      </c>
      <c r="I135" s="26">
        <v>2627</v>
      </c>
      <c r="J135" s="26">
        <v>3374</v>
      </c>
      <c r="K135" s="26"/>
      <c r="L135" s="26"/>
      <c r="M135" s="26"/>
      <c r="N135" s="26"/>
      <c r="O135" s="26"/>
      <c r="P135" s="26"/>
      <c r="Q135" s="26"/>
      <c r="R135" s="18">
        <f t="shared" si="2"/>
        <v>16507</v>
      </c>
    </row>
    <row r="136" spans="1:18" s="2" customFormat="1" ht="15">
      <c r="A136" s="10" t="s">
        <v>206</v>
      </c>
      <c r="B136" s="9" t="s">
        <v>270</v>
      </c>
      <c r="C136" s="10" t="s">
        <v>271</v>
      </c>
      <c r="D136" s="4">
        <v>10.6</v>
      </c>
      <c r="E136" s="29">
        <v>2014</v>
      </c>
      <c r="F136" s="26">
        <v>1785</v>
      </c>
      <c r="G136" s="26">
        <v>3010</v>
      </c>
      <c r="H136" s="26">
        <v>1698</v>
      </c>
      <c r="I136" s="26">
        <v>2150</v>
      </c>
      <c r="J136" s="26">
        <v>1262</v>
      </c>
      <c r="K136" s="26"/>
      <c r="L136" s="26"/>
      <c r="M136" s="26"/>
      <c r="N136" s="26"/>
      <c r="O136" s="26"/>
      <c r="P136" s="26"/>
      <c r="Q136" s="26"/>
      <c r="R136" s="18">
        <f t="shared" si="2"/>
        <v>9905</v>
      </c>
    </row>
    <row r="137" spans="1:18" s="2" customFormat="1" ht="15">
      <c r="A137" s="10" t="s">
        <v>206</v>
      </c>
      <c r="B137" s="9" t="s">
        <v>272</v>
      </c>
      <c r="C137" s="10" t="s">
        <v>273</v>
      </c>
      <c r="D137" s="4">
        <v>16.79</v>
      </c>
      <c r="E137" s="29">
        <v>2014</v>
      </c>
      <c r="F137" s="26">
        <v>2008</v>
      </c>
      <c r="G137" s="26">
        <v>4076</v>
      </c>
      <c r="H137" s="26">
        <v>2397</v>
      </c>
      <c r="I137" s="26">
        <v>3228</v>
      </c>
      <c r="J137" s="26">
        <v>2454</v>
      </c>
      <c r="K137" s="26"/>
      <c r="L137" s="26"/>
      <c r="M137" s="26"/>
      <c r="N137" s="26"/>
      <c r="O137" s="26"/>
      <c r="P137" s="26"/>
      <c r="Q137" s="26"/>
      <c r="R137" s="18">
        <f t="shared" si="2"/>
        <v>14163</v>
      </c>
    </row>
    <row r="138" spans="1:18" s="2" customFormat="1" ht="15">
      <c r="A138" s="10" t="s">
        <v>206</v>
      </c>
      <c r="B138" s="9" t="s">
        <v>274</v>
      </c>
      <c r="C138" s="10" t="s">
        <v>275</v>
      </c>
      <c r="D138" s="4">
        <v>20.84</v>
      </c>
      <c r="E138" s="29">
        <v>2014</v>
      </c>
      <c r="F138" s="26">
        <v>3990</v>
      </c>
      <c r="G138" s="26">
        <v>5178</v>
      </c>
      <c r="H138" s="26">
        <v>3088</v>
      </c>
      <c r="I138" s="26">
        <v>4031</v>
      </c>
      <c r="J138" s="26">
        <v>2291</v>
      </c>
      <c r="K138" s="26"/>
      <c r="L138" s="26"/>
      <c r="M138" s="26"/>
      <c r="N138" s="26"/>
      <c r="O138" s="26"/>
      <c r="P138" s="26"/>
      <c r="Q138" s="26"/>
      <c r="R138" s="18">
        <f t="shared" si="2"/>
        <v>18578</v>
      </c>
    </row>
    <row r="139" spans="1:18" s="2" customFormat="1" ht="15">
      <c r="A139" s="10" t="s">
        <v>206</v>
      </c>
      <c r="B139" s="9" t="s">
        <v>276</v>
      </c>
      <c r="C139" s="10" t="s">
        <v>277</v>
      </c>
      <c r="D139" s="4">
        <v>20.239999999999998</v>
      </c>
      <c r="E139" s="29">
        <v>2014</v>
      </c>
      <c r="F139" s="26">
        <v>4736</v>
      </c>
      <c r="G139" s="26">
        <v>3934</v>
      </c>
      <c r="H139" s="26">
        <v>3030</v>
      </c>
      <c r="I139" s="26">
        <v>4143</v>
      </c>
      <c r="J139" s="26">
        <v>2681</v>
      </c>
      <c r="K139" s="26"/>
      <c r="L139" s="26"/>
      <c r="M139" s="26"/>
      <c r="N139" s="26"/>
      <c r="O139" s="26"/>
      <c r="P139" s="26"/>
      <c r="Q139" s="26"/>
      <c r="R139" s="18">
        <f t="shared" si="2"/>
        <v>18524</v>
      </c>
    </row>
    <row r="140" spans="1:18" s="2" customFormat="1" ht="15">
      <c r="A140" s="10" t="s">
        <v>206</v>
      </c>
      <c r="B140" s="9" t="s">
        <v>278</v>
      </c>
      <c r="C140" s="10" t="s">
        <v>279</v>
      </c>
      <c r="D140" s="4">
        <v>16.21</v>
      </c>
      <c r="E140" s="29">
        <v>2014</v>
      </c>
      <c r="F140" s="26">
        <v>4014</v>
      </c>
      <c r="G140" s="26">
        <v>3917</v>
      </c>
      <c r="H140" s="26">
        <v>3819</v>
      </c>
      <c r="I140" s="26">
        <v>2484</v>
      </c>
      <c r="J140" s="26">
        <v>3091</v>
      </c>
      <c r="K140" s="26"/>
      <c r="L140" s="26"/>
      <c r="M140" s="26"/>
      <c r="N140" s="26"/>
      <c r="O140" s="26"/>
      <c r="P140" s="26"/>
      <c r="Q140" s="26"/>
      <c r="R140" s="18">
        <f t="shared" si="2"/>
        <v>17325</v>
      </c>
    </row>
    <row r="141" spans="1:18" s="2" customFormat="1" ht="15">
      <c r="A141" s="10" t="s">
        <v>206</v>
      </c>
      <c r="B141" s="9" t="s">
        <v>280</v>
      </c>
      <c r="C141" s="10" t="s">
        <v>281</v>
      </c>
      <c r="D141" s="4">
        <v>11.18</v>
      </c>
      <c r="E141" s="29">
        <v>2013</v>
      </c>
      <c r="F141" s="26">
        <v>2669</v>
      </c>
      <c r="G141" s="26">
        <v>2512</v>
      </c>
      <c r="H141" s="26">
        <v>2756</v>
      </c>
      <c r="I141" s="26">
        <v>1697</v>
      </c>
      <c r="J141" s="26">
        <v>1884</v>
      </c>
      <c r="K141" s="26"/>
      <c r="L141" s="26"/>
      <c r="M141" s="26"/>
      <c r="N141" s="26"/>
      <c r="O141" s="26"/>
      <c r="P141" s="26"/>
      <c r="Q141" s="26"/>
      <c r="R141" s="18">
        <f t="shared" si="2"/>
        <v>11518</v>
      </c>
    </row>
    <row r="142" spans="1:18" s="2" customFormat="1" ht="15">
      <c r="A142" s="10" t="s">
        <v>206</v>
      </c>
      <c r="B142" s="9" t="s">
        <v>282</v>
      </c>
      <c r="C142" s="10" t="s">
        <v>283</v>
      </c>
      <c r="D142" s="4">
        <v>1.56</v>
      </c>
      <c r="E142" s="29">
        <v>2014</v>
      </c>
      <c r="F142" s="26">
        <v>199</v>
      </c>
      <c r="G142" s="26">
        <v>197</v>
      </c>
      <c r="H142" s="26">
        <v>199</v>
      </c>
      <c r="I142" s="26">
        <v>140</v>
      </c>
      <c r="J142" s="26">
        <v>218</v>
      </c>
      <c r="K142" s="26"/>
      <c r="L142" s="26"/>
      <c r="M142" s="26"/>
      <c r="N142" s="26"/>
      <c r="O142" s="26"/>
      <c r="P142" s="26"/>
      <c r="Q142" s="26"/>
      <c r="R142" s="18">
        <f t="shared" si="2"/>
        <v>953</v>
      </c>
    </row>
    <row r="143" spans="1:18" s="2" customFormat="1" ht="15">
      <c r="A143" s="10" t="s">
        <v>206</v>
      </c>
      <c r="B143" s="9" t="s">
        <v>284</v>
      </c>
      <c r="C143" s="10" t="s">
        <v>285</v>
      </c>
      <c r="D143" s="4">
        <v>18.09</v>
      </c>
      <c r="E143" s="29">
        <v>2014</v>
      </c>
      <c r="F143" s="26">
        <v>3800</v>
      </c>
      <c r="G143" s="26">
        <v>3385</v>
      </c>
      <c r="H143" s="26">
        <v>4422</v>
      </c>
      <c r="I143" s="26">
        <v>2553</v>
      </c>
      <c r="J143" s="26">
        <v>2284</v>
      </c>
      <c r="K143" s="26"/>
      <c r="L143" s="26"/>
      <c r="M143" s="26"/>
      <c r="N143" s="26"/>
      <c r="O143" s="26"/>
      <c r="P143" s="26"/>
      <c r="Q143" s="26"/>
      <c r="R143" s="18">
        <f t="shared" si="2"/>
        <v>16444</v>
      </c>
    </row>
    <row r="144" spans="1:18" s="2" customFormat="1" ht="15">
      <c r="A144" s="10" t="s">
        <v>206</v>
      </c>
      <c r="B144" s="9" t="s">
        <v>286</v>
      </c>
      <c r="C144" s="10" t="s">
        <v>287</v>
      </c>
      <c r="D144" s="4">
        <v>18.41</v>
      </c>
      <c r="E144" s="29">
        <v>2014</v>
      </c>
      <c r="F144" s="26">
        <v>3175</v>
      </c>
      <c r="G144" s="26">
        <v>2954</v>
      </c>
      <c r="H144" s="26">
        <v>3595</v>
      </c>
      <c r="I144" s="26">
        <v>2307</v>
      </c>
      <c r="J144" s="26">
        <v>3294</v>
      </c>
      <c r="K144" s="26"/>
      <c r="L144" s="26"/>
      <c r="M144" s="26"/>
      <c r="N144" s="26"/>
      <c r="O144" s="26"/>
      <c r="P144" s="26"/>
      <c r="Q144" s="26"/>
      <c r="R144" s="18">
        <f t="shared" si="2"/>
        <v>15325</v>
      </c>
    </row>
    <row r="145" spans="1:18" s="2" customFormat="1" ht="15">
      <c r="A145" s="10" t="s">
        <v>206</v>
      </c>
      <c r="B145" s="9" t="s">
        <v>288</v>
      </c>
      <c r="C145" s="10" t="s">
        <v>289</v>
      </c>
      <c r="D145" s="4">
        <v>22.45</v>
      </c>
      <c r="E145" s="29">
        <v>2014</v>
      </c>
      <c r="F145" s="26">
        <v>2827</v>
      </c>
      <c r="G145" s="26">
        <v>2829</v>
      </c>
      <c r="H145" s="26">
        <v>3598</v>
      </c>
      <c r="I145" s="26">
        <v>2258</v>
      </c>
      <c r="J145" s="26">
        <v>2444</v>
      </c>
      <c r="K145" s="26"/>
      <c r="L145" s="26"/>
      <c r="M145" s="26"/>
      <c r="N145" s="26"/>
      <c r="O145" s="26"/>
      <c r="P145" s="26"/>
      <c r="Q145" s="26"/>
      <c r="R145" s="18">
        <f t="shared" si="2"/>
        <v>13956</v>
      </c>
    </row>
    <row r="146" spans="1:18" s="2" customFormat="1" ht="15">
      <c r="A146" s="10" t="s">
        <v>206</v>
      </c>
      <c r="B146" s="9" t="s">
        <v>290</v>
      </c>
      <c r="C146" s="10" t="s">
        <v>291</v>
      </c>
      <c r="D146" s="4">
        <v>19.89</v>
      </c>
      <c r="E146" s="29">
        <v>2014</v>
      </c>
      <c r="F146" s="26">
        <v>3980</v>
      </c>
      <c r="G146" s="26">
        <v>3517</v>
      </c>
      <c r="H146" s="26">
        <v>4498</v>
      </c>
      <c r="I146" s="26">
        <v>2478</v>
      </c>
      <c r="J146" s="26">
        <v>3145</v>
      </c>
      <c r="K146" s="26"/>
      <c r="L146" s="26"/>
      <c r="M146" s="26"/>
      <c r="N146" s="26"/>
      <c r="O146" s="26"/>
      <c r="P146" s="26"/>
      <c r="Q146" s="26"/>
      <c r="R146" s="18">
        <f t="shared" si="2"/>
        <v>17618</v>
      </c>
    </row>
    <row r="147" spans="1:18" s="2" customFormat="1" ht="15">
      <c r="A147" s="10" t="s">
        <v>206</v>
      </c>
      <c r="B147" s="9" t="s">
        <v>292</v>
      </c>
      <c r="C147" s="10" t="s">
        <v>293</v>
      </c>
      <c r="D147" s="4">
        <v>8.4700000000000006</v>
      </c>
      <c r="E147" s="29">
        <v>2014</v>
      </c>
      <c r="F147" s="26">
        <v>1585</v>
      </c>
      <c r="G147" s="26">
        <v>1621</v>
      </c>
      <c r="H147" s="26">
        <v>1934</v>
      </c>
      <c r="I147" s="26">
        <v>1254</v>
      </c>
      <c r="J147" s="26">
        <v>1197</v>
      </c>
      <c r="K147" s="26"/>
      <c r="L147" s="26"/>
      <c r="M147" s="26"/>
      <c r="N147" s="26"/>
      <c r="O147" s="26"/>
      <c r="P147" s="26"/>
      <c r="Q147" s="26"/>
      <c r="R147" s="18">
        <f t="shared" si="2"/>
        <v>7591</v>
      </c>
    </row>
    <row r="148" spans="1:18" s="2" customFormat="1" ht="15">
      <c r="A148" s="10" t="s">
        <v>206</v>
      </c>
      <c r="B148" s="9" t="s">
        <v>294</v>
      </c>
      <c r="C148" s="10" t="s">
        <v>295</v>
      </c>
      <c r="D148" s="4">
        <v>8.9700000000000006</v>
      </c>
      <c r="E148" s="29">
        <v>2014</v>
      </c>
      <c r="F148" s="26">
        <v>1742</v>
      </c>
      <c r="G148" s="26">
        <v>1758</v>
      </c>
      <c r="H148" s="26">
        <v>2093</v>
      </c>
      <c r="I148" s="26">
        <v>1326</v>
      </c>
      <c r="J148" s="26">
        <v>1023</v>
      </c>
      <c r="K148" s="26"/>
      <c r="L148" s="26"/>
      <c r="M148" s="26"/>
      <c r="N148" s="26"/>
      <c r="O148" s="26"/>
      <c r="P148" s="26"/>
      <c r="Q148" s="26"/>
      <c r="R148" s="18">
        <f t="shared" si="2"/>
        <v>7942</v>
      </c>
    </row>
    <row r="149" spans="1:18" s="2" customFormat="1" ht="15">
      <c r="A149" s="10" t="s">
        <v>206</v>
      </c>
      <c r="B149" s="9" t="s">
        <v>296</v>
      </c>
      <c r="C149" s="10" t="s">
        <v>297</v>
      </c>
      <c r="D149" s="4">
        <v>6.95</v>
      </c>
      <c r="E149" s="29">
        <v>2014</v>
      </c>
      <c r="F149" s="26">
        <v>1497</v>
      </c>
      <c r="G149" s="26">
        <v>1306</v>
      </c>
      <c r="H149" s="26">
        <v>1725</v>
      </c>
      <c r="I149" s="26">
        <v>1015</v>
      </c>
      <c r="J149" s="26">
        <v>1451</v>
      </c>
      <c r="K149" s="26"/>
      <c r="L149" s="26"/>
      <c r="M149" s="26"/>
      <c r="N149" s="26"/>
      <c r="O149" s="26"/>
      <c r="P149" s="26"/>
      <c r="Q149" s="26"/>
      <c r="R149" s="18">
        <f t="shared" si="2"/>
        <v>6994</v>
      </c>
    </row>
    <row r="150" spans="1:18" s="2" customFormat="1" ht="15">
      <c r="A150" s="10" t="s">
        <v>206</v>
      </c>
      <c r="B150" s="9" t="s">
        <v>298</v>
      </c>
      <c r="C150" s="10" t="s">
        <v>299</v>
      </c>
      <c r="D150" s="4">
        <v>4.2</v>
      </c>
      <c r="E150" s="29">
        <v>2021</v>
      </c>
      <c r="F150" s="26">
        <v>843</v>
      </c>
      <c r="G150" s="26">
        <v>1450</v>
      </c>
      <c r="H150" s="26">
        <v>798</v>
      </c>
      <c r="I150" s="26">
        <v>865</v>
      </c>
      <c r="J150" s="26">
        <v>935</v>
      </c>
      <c r="K150" s="26"/>
      <c r="L150" s="26"/>
      <c r="M150" s="26"/>
      <c r="N150" s="26"/>
      <c r="O150" s="26"/>
      <c r="P150" s="26"/>
      <c r="Q150" s="26"/>
      <c r="R150" s="18">
        <f t="shared" si="2"/>
        <v>4891</v>
      </c>
    </row>
    <row r="151" spans="1:18" s="2" customFormat="1" ht="15">
      <c r="A151" s="10" t="s">
        <v>300</v>
      </c>
      <c r="B151" s="9" t="s">
        <v>301</v>
      </c>
      <c r="C151" s="10" t="s">
        <v>302</v>
      </c>
      <c r="D151" s="4">
        <v>20.02</v>
      </c>
      <c r="E151" s="29">
        <v>2011</v>
      </c>
      <c r="F151" s="26">
        <v>3434</v>
      </c>
      <c r="G151" s="26">
        <v>3791</v>
      </c>
      <c r="H151" s="26">
        <v>2741</v>
      </c>
      <c r="I151" s="26">
        <v>3674</v>
      </c>
      <c r="J151" s="26">
        <v>2874</v>
      </c>
      <c r="K151" s="26"/>
      <c r="L151" s="26"/>
      <c r="M151" s="26"/>
      <c r="N151" s="26"/>
      <c r="O151" s="26"/>
      <c r="P151" s="26"/>
      <c r="Q151" s="26"/>
      <c r="R151" s="18">
        <f t="shared" si="2"/>
        <v>16514</v>
      </c>
    </row>
    <row r="152" spans="1:18" s="2" customFormat="1" ht="15">
      <c r="A152" s="10" t="s">
        <v>300</v>
      </c>
      <c r="B152" s="9" t="s">
        <v>303</v>
      </c>
      <c r="C152" s="10" t="s">
        <v>304</v>
      </c>
      <c r="D152" s="4">
        <v>16.62</v>
      </c>
      <c r="E152" s="29">
        <v>2011</v>
      </c>
      <c r="F152" s="26">
        <v>2935</v>
      </c>
      <c r="G152" s="26">
        <v>3010</v>
      </c>
      <c r="H152" s="26">
        <v>3852</v>
      </c>
      <c r="I152" s="26">
        <v>3702</v>
      </c>
      <c r="J152" s="26">
        <v>2476</v>
      </c>
      <c r="K152" s="26"/>
      <c r="L152" s="26"/>
      <c r="M152" s="26"/>
      <c r="N152" s="26"/>
      <c r="O152" s="26"/>
      <c r="P152" s="26"/>
      <c r="Q152" s="26"/>
      <c r="R152" s="18">
        <f t="shared" si="2"/>
        <v>15975</v>
      </c>
    </row>
    <row r="153" spans="1:18" s="2" customFormat="1" ht="15">
      <c r="A153" s="10" t="s">
        <v>300</v>
      </c>
      <c r="B153" s="9" t="s">
        <v>305</v>
      </c>
      <c r="C153" s="10" t="s">
        <v>306</v>
      </c>
      <c r="D153" s="4">
        <v>15.76</v>
      </c>
      <c r="E153" s="29">
        <v>2011</v>
      </c>
      <c r="F153" s="26">
        <v>2339</v>
      </c>
      <c r="G153" s="26">
        <v>2502</v>
      </c>
      <c r="H153" s="26">
        <v>3129</v>
      </c>
      <c r="I153" s="26">
        <v>3104</v>
      </c>
      <c r="J153" s="26">
        <v>2433</v>
      </c>
      <c r="K153" s="26"/>
      <c r="L153" s="26"/>
      <c r="M153" s="26"/>
      <c r="N153" s="26"/>
      <c r="O153" s="26"/>
      <c r="P153" s="26"/>
      <c r="Q153" s="26"/>
      <c r="R153" s="18">
        <f t="shared" si="2"/>
        <v>13507</v>
      </c>
    </row>
    <row r="154" spans="1:18" s="2" customFormat="1" ht="15">
      <c r="A154" s="10" t="s">
        <v>300</v>
      </c>
      <c r="B154" s="9" t="s">
        <v>307</v>
      </c>
      <c r="C154" s="10" t="s">
        <v>308</v>
      </c>
      <c r="D154" s="4">
        <v>17.260000000000002</v>
      </c>
      <c r="E154" s="29">
        <v>2011</v>
      </c>
      <c r="F154" s="26">
        <v>3030</v>
      </c>
      <c r="G154" s="26">
        <v>2705</v>
      </c>
      <c r="H154" s="26">
        <v>4229</v>
      </c>
      <c r="I154" s="26">
        <v>3077</v>
      </c>
      <c r="J154" s="26">
        <v>4301</v>
      </c>
      <c r="K154" s="26"/>
      <c r="L154" s="26"/>
      <c r="M154" s="26"/>
      <c r="N154" s="26"/>
      <c r="O154" s="26"/>
      <c r="P154" s="26"/>
      <c r="Q154" s="26"/>
      <c r="R154" s="18">
        <f t="shared" si="2"/>
        <v>17342</v>
      </c>
    </row>
    <row r="155" spans="1:18" s="2" customFormat="1" ht="15">
      <c r="A155" s="10" t="s">
        <v>300</v>
      </c>
      <c r="B155" s="9" t="s">
        <v>309</v>
      </c>
      <c r="C155" s="10" t="s">
        <v>310</v>
      </c>
      <c r="D155" s="4">
        <v>16.73</v>
      </c>
      <c r="E155" s="29">
        <v>2011</v>
      </c>
      <c r="F155" s="26">
        <v>3177</v>
      </c>
      <c r="G155" s="26">
        <v>2518</v>
      </c>
      <c r="H155" s="26">
        <v>3946</v>
      </c>
      <c r="I155" s="26">
        <v>3149</v>
      </c>
      <c r="J155" s="26">
        <v>3355</v>
      </c>
      <c r="K155" s="26"/>
      <c r="L155" s="26"/>
      <c r="M155" s="26"/>
      <c r="N155" s="26"/>
      <c r="O155" s="26"/>
      <c r="P155" s="26"/>
      <c r="Q155" s="26"/>
      <c r="R155" s="18">
        <f t="shared" si="2"/>
        <v>16145</v>
      </c>
    </row>
    <row r="156" spans="1:18" s="2" customFormat="1" ht="15">
      <c r="A156" s="10" t="s">
        <v>300</v>
      </c>
      <c r="B156" s="9" t="s">
        <v>311</v>
      </c>
      <c r="C156" s="10" t="s">
        <v>312</v>
      </c>
      <c r="D156" s="4">
        <v>28.13</v>
      </c>
      <c r="E156" s="29">
        <v>2011</v>
      </c>
      <c r="F156" s="26">
        <v>4269</v>
      </c>
      <c r="G156" s="26">
        <v>6228</v>
      </c>
      <c r="H156" s="26">
        <v>6692</v>
      </c>
      <c r="I156" s="26">
        <v>4328</v>
      </c>
      <c r="J156" s="26">
        <v>6930</v>
      </c>
      <c r="K156" s="26"/>
      <c r="L156" s="26"/>
      <c r="M156" s="26"/>
      <c r="N156" s="26"/>
      <c r="O156" s="26"/>
      <c r="P156" s="26"/>
      <c r="Q156" s="26"/>
      <c r="R156" s="18">
        <f t="shared" si="2"/>
        <v>28447</v>
      </c>
    </row>
    <row r="157" spans="1:18" s="2" customFormat="1" ht="15">
      <c r="A157" s="10" t="s">
        <v>300</v>
      </c>
      <c r="B157" s="9" t="s">
        <v>313</v>
      </c>
      <c r="C157" s="10" t="s">
        <v>314</v>
      </c>
      <c r="D157" s="4">
        <v>16.25</v>
      </c>
      <c r="E157" s="29">
        <v>2011</v>
      </c>
      <c r="F157" s="26">
        <v>1795</v>
      </c>
      <c r="G157" s="26">
        <v>2640</v>
      </c>
      <c r="H157" s="26">
        <v>2868</v>
      </c>
      <c r="I157" s="26">
        <v>2237</v>
      </c>
      <c r="J157" s="26">
        <v>3260</v>
      </c>
      <c r="K157" s="26"/>
      <c r="L157" s="26"/>
      <c r="M157" s="26"/>
      <c r="N157" s="26"/>
      <c r="O157" s="26"/>
      <c r="P157" s="26"/>
      <c r="Q157" s="26"/>
      <c r="R157" s="18">
        <f t="shared" si="2"/>
        <v>12800</v>
      </c>
    </row>
    <row r="158" spans="1:18" s="2" customFormat="1" ht="15">
      <c r="A158" s="10" t="s">
        <v>300</v>
      </c>
      <c r="B158" s="9" t="s">
        <v>315</v>
      </c>
      <c r="C158" s="10" t="s">
        <v>316</v>
      </c>
      <c r="D158" s="4">
        <v>24.52</v>
      </c>
      <c r="E158" s="29">
        <v>2011</v>
      </c>
      <c r="F158" s="26">
        <v>3339</v>
      </c>
      <c r="G158" s="26">
        <v>4584</v>
      </c>
      <c r="H158" s="26">
        <v>5401</v>
      </c>
      <c r="I158" s="26">
        <v>3665</v>
      </c>
      <c r="J158" s="26">
        <v>5442</v>
      </c>
      <c r="K158" s="26"/>
      <c r="L158" s="26"/>
      <c r="M158" s="26"/>
      <c r="N158" s="26"/>
      <c r="O158" s="26"/>
      <c r="P158" s="26"/>
      <c r="Q158" s="26"/>
      <c r="R158" s="18">
        <f t="shared" si="2"/>
        <v>22431</v>
      </c>
    </row>
    <row r="159" spans="1:18" s="2" customFormat="1" ht="15">
      <c r="A159" s="10" t="s">
        <v>300</v>
      </c>
      <c r="B159" s="9" t="s">
        <v>317</v>
      </c>
      <c r="C159" s="10" t="s">
        <v>318</v>
      </c>
      <c r="D159" s="4">
        <v>32.75</v>
      </c>
      <c r="E159" s="29">
        <v>2011</v>
      </c>
      <c r="F159" s="26">
        <v>4675</v>
      </c>
      <c r="G159" s="26">
        <v>5563</v>
      </c>
      <c r="H159" s="26">
        <v>6649</v>
      </c>
      <c r="I159" s="26">
        <v>4525</v>
      </c>
      <c r="J159" s="26">
        <v>6381</v>
      </c>
      <c r="K159" s="26"/>
      <c r="L159" s="26"/>
      <c r="M159" s="26"/>
      <c r="N159" s="26"/>
      <c r="O159" s="26"/>
      <c r="P159" s="26"/>
      <c r="Q159" s="26"/>
      <c r="R159" s="18">
        <f t="shared" si="2"/>
        <v>27793</v>
      </c>
    </row>
    <row r="160" spans="1:18" s="2" customFormat="1" ht="15">
      <c r="A160" s="10" t="s">
        <v>300</v>
      </c>
      <c r="B160" s="9" t="s">
        <v>319</v>
      </c>
      <c r="C160" s="10" t="s">
        <v>320</v>
      </c>
      <c r="D160" s="4">
        <v>2.27</v>
      </c>
      <c r="E160" s="29">
        <v>2011</v>
      </c>
      <c r="F160" s="26">
        <v>347</v>
      </c>
      <c r="G160" s="26">
        <v>346</v>
      </c>
      <c r="H160" s="26">
        <v>365</v>
      </c>
      <c r="I160" s="26">
        <v>388</v>
      </c>
      <c r="J160" s="26">
        <v>346</v>
      </c>
      <c r="K160" s="26"/>
      <c r="L160" s="26"/>
      <c r="M160" s="26"/>
      <c r="N160" s="26"/>
      <c r="O160" s="26"/>
      <c r="P160" s="26"/>
      <c r="Q160" s="26"/>
      <c r="R160" s="18">
        <f t="shared" si="2"/>
        <v>1792</v>
      </c>
    </row>
    <row r="161" spans="1:18" s="2" customFormat="1" ht="15">
      <c r="A161" s="10" t="s">
        <v>300</v>
      </c>
      <c r="B161" s="9" t="s">
        <v>321</v>
      </c>
      <c r="C161" s="10" t="s">
        <v>322</v>
      </c>
      <c r="D161" s="4">
        <v>9.66</v>
      </c>
      <c r="E161" s="29">
        <v>2011</v>
      </c>
      <c r="F161" s="26">
        <v>1882</v>
      </c>
      <c r="G161" s="26">
        <v>2022</v>
      </c>
      <c r="H161" s="26">
        <v>2407</v>
      </c>
      <c r="I161" s="26">
        <v>2199</v>
      </c>
      <c r="J161" s="26">
        <v>1648</v>
      </c>
      <c r="K161" s="26"/>
      <c r="L161" s="26"/>
      <c r="M161" s="26"/>
      <c r="N161" s="26"/>
      <c r="O161" s="26"/>
      <c r="P161" s="26"/>
      <c r="Q161" s="26"/>
      <c r="R161" s="18">
        <f t="shared" si="2"/>
        <v>10158</v>
      </c>
    </row>
    <row r="162" spans="1:18" s="2" customFormat="1" ht="15">
      <c r="A162" s="10" t="s">
        <v>300</v>
      </c>
      <c r="B162" s="9" t="s">
        <v>323</v>
      </c>
      <c r="C162" s="10" t="s">
        <v>324</v>
      </c>
      <c r="D162" s="4">
        <v>20.71</v>
      </c>
      <c r="E162" s="29">
        <v>2012</v>
      </c>
      <c r="F162" s="26">
        <v>3761</v>
      </c>
      <c r="G162" s="26">
        <v>3414</v>
      </c>
      <c r="H162" s="26">
        <v>4622</v>
      </c>
      <c r="I162" s="26">
        <v>4259</v>
      </c>
      <c r="J162" s="26">
        <v>2867</v>
      </c>
      <c r="K162" s="26"/>
      <c r="L162" s="26"/>
      <c r="M162" s="26"/>
      <c r="N162" s="26"/>
      <c r="O162" s="26"/>
      <c r="P162" s="26"/>
      <c r="Q162" s="26"/>
      <c r="R162" s="18">
        <f t="shared" si="2"/>
        <v>18923</v>
      </c>
    </row>
    <row r="163" spans="1:18" s="2" customFormat="1" ht="15">
      <c r="A163" s="10" t="s">
        <v>300</v>
      </c>
      <c r="B163" s="9" t="s">
        <v>325</v>
      </c>
      <c r="C163" s="10" t="s">
        <v>326</v>
      </c>
      <c r="D163" s="4">
        <v>29.26</v>
      </c>
      <c r="E163" s="29">
        <v>2014</v>
      </c>
      <c r="F163" s="26">
        <v>6673</v>
      </c>
      <c r="G163" s="26">
        <v>5151</v>
      </c>
      <c r="H163" s="26">
        <v>6769</v>
      </c>
      <c r="I163" s="26">
        <v>5908</v>
      </c>
      <c r="J163" s="26">
        <v>4723</v>
      </c>
      <c r="K163" s="26"/>
      <c r="L163" s="26"/>
      <c r="M163" s="26"/>
      <c r="N163" s="26"/>
      <c r="O163" s="26"/>
      <c r="P163" s="26"/>
      <c r="Q163" s="26"/>
      <c r="R163" s="18">
        <f t="shared" si="2"/>
        <v>29224</v>
      </c>
    </row>
    <row r="164" spans="1:18" s="2" customFormat="1" ht="15">
      <c r="A164" s="10" t="s">
        <v>300</v>
      </c>
      <c r="B164" s="9" t="s">
        <v>327</v>
      </c>
      <c r="C164" s="10" t="s">
        <v>328</v>
      </c>
      <c r="D164" s="4">
        <v>29.08</v>
      </c>
      <c r="E164" s="29">
        <v>2014</v>
      </c>
      <c r="F164" s="26">
        <v>5495</v>
      </c>
      <c r="G164" s="26">
        <v>4377</v>
      </c>
      <c r="H164" s="26">
        <v>5707</v>
      </c>
      <c r="I164" s="26">
        <v>5717</v>
      </c>
      <c r="J164" s="26">
        <v>4661</v>
      </c>
      <c r="K164" s="26"/>
      <c r="L164" s="26"/>
      <c r="M164" s="26"/>
      <c r="N164" s="26"/>
      <c r="O164" s="26"/>
      <c r="P164" s="26"/>
      <c r="Q164" s="26"/>
      <c r="R164" s="18">
        <f t="shared" si="2"/>
        <v>25957</v>
      </c>
    </row>
    <row r="165" spans="1:18" s="2" customFormat="1" ht="15">
      <c r="A165" s="10" t="s">
        <v>300</v>
      </c>
      <c r="B165" s="9" t="s">
        <v>329</v>
      </c>
      <c r="C165" s="10" t="s">
        <v>330</v>
      </c>
      <c r="D165" s="4">
        <v>27.31</v>
      </c>
      <c r="E165" s="29">
        <v>2014</v>
      </c>
      <c r="F165" s="26">
        <v>5624</v>
      </c>
      <c r="G165" s="26">
        <v>4821</v>
      </c>
      <c r="H165" s="26">
        <v>6282</v>
      </c>
      <c r="I165" s="26">
        <v>5649</v>
      </c>
      <c r="J165" s="26">
        <v>4223</v>
      </c>
      <c r="K165" s="26"/>
      <c r="L165" s="26"/>
      <c r="M165" s="26"/>
      <c r="N165" s="26"/>
      <c r="O165" s="26"/>
      <c r="P165" s="26"/>
      <c r="Q165" s="26"/>
      <c r="R165" s="18">
        <f t="shared" si="2"/>
        <v>26599</v>
      </c>
    </row>
    <row r="166" spans="1:18" s="2" customFormat="1" ht="15">
      <c r="A166" s="4" t="s">
        <v>300</v>
      </c>
      <c r="B166" s="3" t="s">
        <v>331</v>
      </c>
      <c r="C166" s="4" t="s">
        <v>332</v>
      </c>
      <c r="D166" s="4">
        <v>29.78</v>
      </c>
      <c r="E166" s="28">
        <v>2014</v>
      </c>
      <c r="F166" s="26">
        <v>5880</v>
      </c>
      <c r="G166" s="26">
        <v>4902</v>
      </c>
      <c r="H166" s="26">
        <v>6363</v>
      </c>
      <c r="I166" s="26">
        <v>6288</v>
      </c>
      <c r="J166" s="26">
        <v>4475</v>
      </c>
      <c r="K166" s="26"/>
      <c r="L166" s="26"/>
      <c r="M166" s="26"/>
      <c r="N166" s="26"/>
      <c r="O166" s="26"/>
      <c r="P166" s="26"/>
      <c r="Q166" s="26"/>
      <c r="R166" s="18">
        <f t="shared" si="2"/>
        <v>27908</v>
      </c>
    </row>
    <row r="167" spans="1:18" s="2" customFormat="1" ht="15">
      <c r="A167" s="4" t="s">
        <v>300</v>
      </c>
      <c r="B167" s="3" t="s">
        <v>333</v>
      </c>
      <c r="C167" s="4" t="s">
        <v>334</v>
      </c>
      <c r="D167" s="4">
        <v>15.43</v>
      </c>
      <c r="E167" s="28">
        <v>2014</v>
      </c>
      <c r="F167" s="26">
        <v>2299</v>
      </c>
      <c r="G167" s="26">
        <v>2058</v>
      </c>
      <c r="H167" s="26">
        <v>2625</v>
      </c>
      <c r="I167" s="26">
        <v>2434</v>
      </c>
      <c r="J167" s="26">
        <v>1574</v>
      </c>
      <c r="K167" s="26"/>
      <c r="L167" s="26"/>
      <c r="M167" s="26"/>
      <c r="N167" s="26"/>
      <c r="O167" s="26"/>
      <c r="P167" s="26"/>
      <c r="Q167" s="26"/>
      <c r="R167" s="18">
        <f t="shared" si="2"/>
        <v>10990</v>
      </c>
    </row>
    <row r="168" spans="1:18" s="2" customFormat="1" ht="15">
      <c r="A168" s="4" t="s">
        <v>300</v>
      </c>
      <c r="B168" s="3" t="s">
        <v>335</v>
      </c>
      <c r="C168" s="4" t="s">
        <v>336</v>
      </c>
      <c r="D168" s="4">
        <v>13.9</v>
      </c>
      <c r="E168" s="28">
        <v>2011</v>
      </c>
      <c r="F168" s="26">
        <v>2588</v>
      </c>
      <c r="G168" s="26">
        <v>2142</v>
      </c>
      <c r="H168" s="26">
        <v>3237</v>
      </c>
      <c r="I168" s="26">
        <v>2740</v>
      </c>
      <c r="J168" s="26">
        <v>1916</v>
      </c>
      <c r="K168" s="26"/>
      <c r="L168" s="26"/>
      <c r="M168" s="26"/>
      <c r="N168" s="26"/>
      <c r="O168" s="26"/>
      <c r="P168" s="26"/>
      <c r="Q168" s="26"/>
      <c r="R168" s="18">
        <f t="shared" si="2"/>
        <v>12623</v>
      </c>
    </row>
    <row r="169" spans="1:18" s="2" customFormat="1" ht="15">
      <c r="A169" s="4" t="s">
        <v>300</v>
      </c>
      <c r="B169" s="3" t="s">
        <v>337</v>
      </c>
      <c r="C169" s="4" t="s">
        <v>338</v>
      </c>
      <c r="D169" s="4">
        <v>5.93</v>
      </c>
      <c r="E169" s="28">
        <v>2013</v>
      </c>
      <c r="F169" s="26">
        <v>1066</v>
      </c>
      <c r="G169" s="26">
        <v>831</v>
      </c>
      <c r="H169" s="26">
        <v>1079</v>
      </c>
      <c r="I169" s="26">
        <v>818</v>
      </c>
      <c r="J169" s="26">
        <v>573</v>
      </c>
      <c r="K169" s="26"/>
      <c r="L169" s="26"/>
      <c r="M169" s="26"/>
      <c r="N169" s="26"/>
      <c r="O169" s="26"/>
      <c r="P169" s="26"/>
      <c r="Q169" s="26"/>
      <c r="R169" s="18">
        <f t="shared" si="2"/>
        <v>4367</v>
      </c>
    </row>
    <row r="170" spans="1:18" s="2" customFormat="1" ht="15">
      <c r="A170" s="4" t="s">
        <v>300</v>
      </c>
      <c r="B170" s="3" t="s">
        <v>339</v>
      </c>
      <c r="C170" s="4" t="s">
        <v>340</v>
      </c>
      <c r="D170" s="4">
        <v>28.48</v>
      </c>
      <c r="E170" s="28">
        <v>2011</v>
      </c>
      <c r="F170" s="26">
        <v>5425</v>
      </c>
      <c r="G170" s="26">
        <v>6670</v>
      </c>
      <c r="H170" s="26">
        <v>6282</v>
      </c>
      <c r="I170" s="26">
        <v>4275</v>
      </c>
      <c r="J170" s="26">
        <v>6219</v>
      </c>
      <c r="K170" s="26"/>
      <c r="L170" s="26"/>
      <c r="M170" s="26"/>
      <c r="N170" s="26"/>
      <c r="O170" s="26"/>
      <c r="P170" s="26"/>
      <c r="Q170" s="26"/>
      <c r="R170" s="18">
        <f t="shared" si="2"/>
        <v>28871</v>
      </c>
    </row>
    <row r="171" spans="1:18" s="2" customFormat="1" ht="15">
      <c r="A171" s="4" t="s">
        <v>300</v>
      </c>
      <c r="B171" s="3" t="s">
        <v>341</v>
      </c>
      <c r="C171" s="4" t="s">
        <v>342</v>
      </c>
      <c r="D171" s="4">
        <v>26.61</v>
      </c>
      <c r="E171" s="28">
        <v>2011</v>
      </c>
      <c r="F171" s="26">
        <v>4323</v>
      </c>
      <c r="G171" s="26">
        <v>5508</v>
      </c>
      <c r="H171" s="26">
        <v>5336</v>
      </c>
      <c r="I171" s="26">
        <v>3421</v>
      </c>
      <c r="J171" s="26">
        <v>4478</v>
      </c>
      <c r="K171" s="26"/>
      <c r="L171" s="26"/>
      <c r="M171" s="26"/>
      <c r="N171" s="26"/>
      <c r="O171" s="26"/>
      <c r="P171" s="26"/>
      <c r="Q171" s="26"/>
      <c r="R171" s="18">
        <f t="shared" si="2"/>
        <v>23066</v>
      </c>
    </row>
    <row r="172" spans="1:18" s="2" customFormat="1" ht="15">
      <c r="A172" s="4" t="s">
        <v>300</v>
      </c>
      <c r="B172" s="3" t="s">
        <v>343</v>
      </c>
      <c r="C172" s="4" t="s">
        <v>344</v>
      </c>
      <c r="D172" s="4">
        <v>33.06</v>
      </c>
      <c r="E172" s="28">
        <v>2013</v>
      </c>
      <c r="F172" s="26">
        <v>7517</v>
      </c>
      <c r="G172" s="26">
        <v>8566</v>
      </c>
      <c r="H172" s="26">
        <v>7823</v>
      </c>
      <c r="I172" s="26">
        <v>5453</v>
      </c>
      <c r="J172" s="26">
        <v>7225</v>
      </c>
      <c r="K172" s="26"/>
      <c r="L172" s="26"/>
      <c r="M172" s="26"/>
      <c r="N172" s="26"/>
      <c r="O172" s="26"/>
      <c r="P172" s="26"/>
      <c r="Q172" s="26"/>
      <c r="R172" s="18">
        <f t="shared" si="2"/>
        <v>36584</v>
      </c>
    </row>
    <row r="173" spans="1:18" s="2" customFormat="1" ht="15">
      <c r="A173" s="4" t="s">
        <v>300</v>
      </c>
      <c r="B173" s="3" t="s">
        <v>345</v>
      </c>
      <c r="C173" s="4" t="s">
        <v>346</v>
      </c>
      <c r="D173" s="4">
        <v>18.16</v>
      </c>
      <c r="E173" s="28">
        <v>2011</v>
      </c>
      <c r="F173" s="26">
        <v>2722</v>
      </c>
      <c r="G173" s="26">
        <v>3942</v>
      </c>
      <c r="H173" s="26">
        <v>3357</v>
      </c>
      <c r="I173" s="26">
        <v>2508</v>
      </c>
      <c r="J173" s="26">
        <v>3546</v>
      </c>
      <c r="K173" s="26"/>
      <c r="L173" s="26"/>
      <c r="M173" s="26"/>
      <c r="N173" s="26"/>
      <c r="O173" s="26"/>
      <c r="P173" s="26"/>
      <c r="Q173" s="26"/>
      <c r="R173" s="18">
        <f t="shared" si="2"/>
        <v>16075</v>
      </c>
    </row>
    <row r="174" spans="1:18" s="2" customFormat="1" ht="15">
      <c r="A174" s="4" t="s">
        <v>300</v>
      </c>
      <c r="B174" s="3" t="s">
        <v>347</v>
      </c>
      <c r="C174" s="4" t="s">
        <v>348</v>
      </c>
      <c r="D174" s="4">
        <v>16.239999999999998</v>
      </c>
      <c r="E174" s="28">
        <v>2011</v>
      </c>
      <c r="F174" s="26">
        <v>2683</v>
      </c>
      <c r="G174" s="26">
        <v>3587</v>
      </c>
      <c r="H174" s="26">
        <v>3431</v>
      </c>
      <c r="I174" s="26">
        <v>2219</v>
      </c>
      <c r="J174" s="26">
        <v>3122</v>
      </c>
      <c r="K174" s="26"/>
      <c r="L174" s="26"/>
      <c r="M174" s="26"/>
      <c r="N174" s="26"/>
      <c r="O174" s="26"/>
      <c r="P174" s="26"/>
      <c r="Q174" s="26"/>
      <c r="R174" s="18">
        <f t="shared" si="2"/>
        <v>15042</v>
      </c>
    </row>
    <row r="175" spans="1:18" s="2" customFormat="1" ht="15">
      <c r="A175" s="4" t="s">
        <v>300</v>
      </c>
      <c r="B175" s="3" t="s">
        <v>349</v>
      </c>
      <c r="C175" s="4" t="s">
        <v>350</v>
      </c>
      <c r="D175" s="4">
        <v>5.28</v>
      </c>
      <c r="E175" s="28">
        <v>2013</v>
      </c>
      <c r="F175" s="26">
        <v>825</v>
      </c>
      <c r="G175" s="26">
        <v>1218</v>
      </c>
      <c r="H175" s="26">
        <v>1175</v>
      </c>
      <c r="I175" s="26">
        <v>757</v>
      </c>
      <c r="J175" s="26">
        <v>1185</v>
      </c>
      <c r="K175" s="26"/>
      <c r="L175" s="26"/>
      <c r="M175" s="26"/>
      <c r="N175" s="26"/>
      <c r="O175" s="26"/>
      <c r="P175" s="26"/>
      <c r="Q175" s="26"/>
      <c r="R175" s="18">
        <f t="shared" si="2"/>
        <v>5160</v>
      </c>
    </row>
    <row r="176" spans="1:18" s="2" customFormat="1" ht="15">
      <c r="A176" s="4" t="s">
        <v>300</v>
      </c>
      <c r="B176" s="3" t="s">
        <v>351</v>
      </c>
      <c r="C176" s="4" t="s">
        <v>352</v>
      </c>
      <c r="D176" s="4">
        <v>13.9</v>
      </c>
      <c r="E176" s="28">
        <v>2011</v>
      </c>
      <c r="F176" s="26">
        <v>2452</v>
      </c>
      <c r="G176" s="26">
        <v>2206</v>
      </c>
      <c r="H176" s="26">
        <v>3205</v>
      </c>
      <c r="I176" s="26">
        <v>2975</v>
      </c>
      <c r="J176" s="26">
        <v>2588</v>
      </c>
      <c r="K176" s="26"/>
      <c r="L176" s="26"/>
      <c r="M176" s="26"/>
      <c r="N176" s="26"/>
      <c r="O176" s="26"/>
      <c r="P176" s="26"/>
      <c r="Q176" s="26"/>
      <c r="R176" s="18">
        <f t="shared" si="2"/>
        <v>13426</v>
      </c>
    </row>
    <row r="177" spans="1:18" s="2" customFormat="1" ht="15">
      <c r="A177" s="4" t="s">
        <v>300</v>
      </c>
      <c r="B177" s="3" t="s">
        <v>353</v>
      </c>
      <c r="C177" s="4" t="s">
        <v>354</v>
      </c>
      <c r="D177" s="4">
        <v>9.17</v>
      </c>
      <c r="E177" s="29">
        <v>2011</v>
      </c>
      <c r="F177" s="26">
        <v>1838</v>
      </c>
      <c r="G177" s="26">
        <v>1503</v>
      </c>
      <c r="H177" s="26">
        <v>2713</v>
      </c>
      <c r="I177" s="26">
        <v>1230</v>
      </c>
      <c r="J177" s="26">
        <v>1617</v>
      </c>
      <c r="K177" s="26"/>
      <c r="L177" s="26"/>
      <c r="M177" s="26"/>
      <c r="N177" s="26"/>
      <c r="O177" s="26"/>
      <c r="P177" s="26"/>
      <c r="Q177" s="26"/>
      <c r="R177" s="18">
        <f t="shared" si="2"/>
        <v>8901</v>
      </c>
    </row>
    <row r="178" spans="1:18" s="2" customFormat="1" ht="15">
      <c r="A178" s="4" t="s">
        <v>300</v>
      </c>
      <c r="B178" s="3" t="s">
        <v>355</v>
      </c>
      <c r="C178" s="4" t="s">
        <v>356</v>
      </c>
      <c r="D178" s="4">
        <v>21.74</v>
      </c>
      <c r="E178" s="28">
        <v>2013</v>
      </c>
      <c r="F178" s="26">
        <v>3676</v>
      </c>
      <c r="G178" s="26">
        <v>4759</v>
      </c>
      <c r="H178" s="26">
        <v>4059</v>
      </c>
      <c r="I178" s="26">
        <v>3501</v>
      </c>
      <c r="J178" s="26">
        <v>4046</v>
      </c>
      <c r="K178" s="26"/>
      <c r="L178" s="26"/>
      <c r="M178" s="26"/>
      <c r="N178" s="26"/>
      <c r="O178" s="26"/>
      <c r="P178" s="26"/>
      <c r="Q178" s="26"/>
      <c r="R178" s="18">
        <f t="shared" si="2"/>
        <v>20041</v>
      </c>
    </row>
    <row r="179" spans="1:18" s="2" customFormat="1" ht="15">
      <c r="A179" s="4" t="s">
        <v>300</v>
      </c>
      <c r="B179" s="3" t="s">
        <v>357</v>
      </c>
      <c r="C179" s="4" t="s">
        <v>358</v>
      </c>
      <c r="D179" s="4">
        <v>15.830000000000002</v>
      </c>
      <c r="E179" s="29">
        <v>2014</v>
      </c>
      <c r="F179" s="26">
        <v>483</v>
      </c>
      <c r="G179" s="26">
        <v>477</v>
      </c>
      <c r="H179" s="26">
        <v>591</v>
      </c>
      <c r="I179" s="26">
        <v>420</v>
      </c>
      <c r="J179" s="26">
        <v>418</v>
      </c>
      <c r="K179" s="26"/>
      <c r="L179" s="26"/>
      <c r="M179" s="26"/>
      <c r="N179" s="26"/>
      <c r="O179" s="26"/>
      <c r="P179" s="26"/>
      <c r="Q179" s="26"/>
      <c r="R179" s="18">
        <f t="shared" si="2"/>
        <v>2389</v>
      </c>
    </row>
    <row r="180" spans="1:18" s="2" customFormat="1" ht="15">
      <c r="A180" s="4" t="s">
        <v>300</v>
      </c>
      <c r="B180" s="3" t="s">
        <v>359</v>
      </c>
      <c r="C180" s="4" t="s">
        <v>360</v>
      </c>
      <c r="D180" s="4">
        <v>18.260000000000002</v>
      </c>
      <c r="E180" s="29">
        <v>2013</v>
      </c>
      <c r="F180" s="26">
        <v>3609</v>
      </c>
      <c r="G180" s="26">
        <v>2881</v>
      </c>
      <c r="H180" s="26">
        <v>4693</v>
      </c>
      <c r="I180" s="26">
        <v>3545</v>
      </c>
      <c r="J180" s="26">
        <v>2953</v>
      </c>
      <c r="K180" s="26"/>
      <c r="L180" s="26"/>
      <c r="M180" s="26"/>
      <c r="N180" s="26"/>
      <c r="O180" s="26"/>
      <c r="P180" s="26"/>
      <c r="Q180" s="26"/>
      <c r="R180" s="18">
        <f t="shared" si="2"/>
        <v>17681</v>
      </c>
    </row>
    <row r="181" spans="1:18" s="2" customFormat="1" ht="15">
      <c r="A181" s="4" t="s">
        <v>300</v>
      </c>
      <c r="B181" s="3" t="s">
        <v>361</v>
      </c>
      <c r="C181" s="4" t="s">
        <v>362</v>
      </c>
      <c r="D181" s="4">
        <v>20.350000000000001</v>
      </c>
      <c r="E181" s="29">
        <v>2013</v>
      </c>
      <c r="F181" s="26">
        <v>3222</v>
      </c>
      <c r="G181" s="26">
        <v>3743</v>
      </c>
      <c r="H181" s="26">
        <v>3491</v>
      </c>
      <c r="I181" s="26">
        <v>2648</v>
      </c>
      <c r="J181" s="26">
        <v>3220</v>
      </c>
      <c r="K181" s="26"/>
      <c r="L181" s="26"/>
      <c r="M181" s="26"/>
      <c r="N181" s="26"/>
      <c r="O181" s="26"/>
      <c r="P181" s="26"/>
      <c r="Q181" s="26"/>
      <c r="R181" s="18">
        <f t="shared" si="2"/>
        <v>16324</v>
      </c>
    </row>
    <row r="182" spans="1:18" s="2" customFormat="1" ht="15">
      <c r="A182" s="4" t="s">
        <v>300</v>
      </c>
      <c r="B182" s="3" t="s">
        <v>363</v>
      </c>
      <c r="C182" s="4" t="s">
        <v>364</v>
      </c>
      <c r="D182" s="4">
        <v>19.12</v>
      </c>
      <c r="E182" s="29">
        <v>2013</v>
      </c>
      <c r="F182" s="26">
        <v>3240</v>
      </c>
      <c r="G182" s="26">
        <v>4235</v>
      </c>
      <c r="H182" s="26">
        <v>3765</v>
      </c>
      <c r="I182" s="26">
        <v>3092</v>
      </c>
      <c r="J182" s="26">
        <v>3407</v>
      </c>
      <c r="K182" s="26"/>
      <c r="L182" s="26"/>
      <c r="M182" s="26"/>
      <c r="N182" s="26"/>
      <c r="O182" s="26"/>
      <c r="P182" s="26"/>
      <c r="Q182" s="26"/>
      <c r="R182" s="18">
        <f t="shared" si="2"/>
        <v>17739</v>
      </c>
    </row>
    <row r="183" spans="1:18" s="2" customFormat="1" ht="15">
      <c r="A183" s="4" t="s">
        <v>300</v>
      </c>
      <c r="B183" s="3" t="s">
        <v>365</v>
      </c>
      <c r="C183" s="4" t="s">
        <v>366</v>
      </c>
      <c r="D183" s="4">
        <v>22.37</v>
      </c>
      <c r="E183" s="29">
        <v>2013</v>
      </c>
      <c r="F183" s="26">
        <v>3461</v>
      </c>
      <c r="G183" s="26">
        <v>4320</v>
      </c>
      <c r="H183" s="26">
        <v>3672</v>
      </c>
      <c r="I183" s="26">
        <v>3173</v>
      </c>
      <c r="J183" s="26">
        <v>3245</v>
      </c>
      <c r="K183" s="26"/>
      <c r="L183" s="26"/>
      <c r="M183" s="26"/>
      <c r="N183" s="26"/>
      <c r="O183" s="26"/>
      <c r="P183" s="26"/>
      <c r="Q183" s="26"/>
      <c r="R183" s="18">
        <f t="shared" si="2"/>
        <v>17871</v>
      </c>
    </row>
    <row r="184" spans="1:18" s="2" customFormat="1" ht="15">
      <c r="A184" s="4" t="s">
        <v>300</v>
      </c>
      <c r="B184" s="3" t="s">
        <v>367</v>
      </c>
      <c r="C184" s="4" t="s">
        <v>368</v>
      </c>
      <c r="D184" s="4">
        <v>20.079999999999998</v>
      </c>
      <c r="E184" s="29">
        <v>2014</v>
      </c>
      <c r="F184" s="26">
        <v>4079</v>
      </c>
      <c r="G184" s="26">
        <v>4303</v>
      </c>
      <c r="H184" s="26">
        <v>3768</v>
      </c>
      <c r="I184" s="26">
        <v>3035</v>
      </c>
      <c r="J184" s="26">
        <v>3158</v>
      </c>
      <c r="K184" s="26"/>
      <c r="L184" s="26"/>
      <c r="M184" s="26"/>
      <c r="N184" s="26"/>
      <c r="O184" s="26"/>
      <c r="P184" s="26"/>
      <c r="Q184" s="26"/>
      <c r="R184" s="18">
        <f t="shared" si="2"/>
        <v>18343</v>
      </c>
    </row>
    <row r="185" spans="1:18" s="2" customFormat="1" ht="15">
      <c r="A185" s="4" t="s">
        <v>300</v>
      </c>
      <c r="B185" s="3" t="s">
        <v>369</v>
      </c>
      <c r="C185" s="4" t="s">
        <v>370</v>
      </c>
      <c r="D185" s="4">
        <v>4.28</v>
      </c>
      <c r="E185" s="29">
        <v>2014</v>
      </c>
      <c r="F185" s="26">
        <v>925</v>
      </c>
      <c r="G185" s="26">
        <v>1149</v>
      </c>
      <c r="H185" s="26">
        <v>677</v>
      </c>
      <c r="I185" s="26">
        <v>744</v>
      </c>
      <c r="J185" s="26">
        <v>602</v>
      </c>
      <c r="K185" s="26"/>
      <c r="L185" s="26"/>
      <c r="M185" s="26"/>
      <c r="N185" s="26"/>
      <c r="O185" s="26"/>
      <c r="P185" s="26"/>
      <c r="Q185" s="26"/>
      <c r="R185" s="18">
        <f t="shared" si="2"/>
        <v>4097</v>
      </c>
    </row>
    <row r="186" spans="1:18" s="2" customFormat="1" ht="15">
      <c r="A186" s="4" t="s">
        <v>300</v>
      </c>
      <c r="B186" s="3" t="s">
        <v>371</v>
      </c>
      <c r="C186" s="4" t="s">
        <v>372</v>
      </c>
      <c r="D186" s="4">
        <v>3.62</v>
      </c>
      <c r="E186" s="29">
        <v>2014</v>
      </c>
      <c r="F186" s="26">
        <v>746</v>
      </c>
      <c r="G186" s="26">
        <v>730</v>
      </c>
      <c r="H186" s="26">
        <v>521</v>
      </c>
      <c r="I186" s="26">
        <v>667</v>
      </c>
      <c r="J186" s="26">
        <v>494</v>
      </c>
      <c r="K186" s="26"/>
      <c r="L186" s="26"/>
      <c r="M186" s="26"/>
      <c r="N186" s="26"/>
      <c r="O186" s="26"/>
      <c r="P186" s="26"/>
      <c r="Q186" s="26"/>
      <c r="R186" s="18">
        <f t="shared" si="2"/>
        <v>3158</v>
      </c>
    </row>
    <row r="187" spans="1:18" s="2" customFormat="1" ht="15">
      <c r="A187" s="4" t="s">
        <v>300</v>
      </c>
      <c r="B187" s="3" t="s">
        <v>373</v>
      </c>
      <c r="C187" s="4" t="s">
        <v>374</v>
      </c>
      <c r="D187" s="4">
        <v>7.23</v>
      </c>
      <c r="E187" s="29">
        <v>2014</v>
      </c>
      <c r="F187" s="26">
        <v>1428</v>
      </c>
      <c r="G187" s="26">
        <v>1571</v>
      </c>
      <c r="H187" s="26">
        <v>1108</v>
      </c>
      <c r="I187" s="26">
        <v>1326</v>
      </c>
      <c r="J187" s="26">
        <v>1100</v>
      </c>
      <c r="K187" s="26"/>
      <c r="L187" s="26"/>
      <c r="M187" s="26"/>
      <c r="N187" s="26"/>
      <c r="O187" s="26"/>
      <c r="P187" s="26"/>
      <c r="Q187" s="26"/>
      <c r="R187" s="18">
        <f t="shared" si="2"/>
        <v>6533</v>
      </c>
    </row>
    <row r="188" spans="1:18" s="2" customFormat="1" ht="15">
      <c r="A188" s="4" t="s">
        <v>300</v>
      </c>
      <c r="B188" s="3" t="s">
        <v>375</v>
      </c>
      <c r="C188" s="4" t="s">
        <v>376</v>
      </c>
      <c r="D188" s="4">
        <v>10.28</v>
      </c>
      <c r="E188" s="29">
        <v>2014</v>
      </c>
      <c r="F188" s="26">
        <v>1743</v>
      </c>
      <c r="G188" s="26">
        <v>1926</v>
      </c>
      <c r="H188" s="26">
        <v>1406</v>
      </c>
      <c r="I188" s="26">
        <v>1816</v>
      </c>
      <c r="J188" s="26">
        <v>1465</v>
      </c>
      <c r="K188" s="26"/>
      <c r="L188" s="26"/>
      <c r="M188" s="26"/>
      <c r="N188" s="26"/>
      <c r="O188" s="26"/>
      <c r="P188" s="26"/>
      <c r="Q188" s="26"/>
      <c r="R188" s="18">
        <f t="shared" si="2"/>
        <v>8356</v>
      </c>
    </row>
    <row r="189" spans="1:18" s="2" customFormat="1" ht="15">
      <c r="A189" s="4" t="s">
        <v>300</v>
      </c>
      <c r="B189" s="3" t="s">
        <v>377</v>
      </c>
      <c r="C189" s="4" t="s">
        <v>378</v>
      </c>
      <c r="D189" s="4">
        <v>12.5</v>
      </c>
      <c r="E189" s="29">
        <v>2014</v>
      </c>
      <c r="F189" s="26">
        <v>2184</v>
      </c>
      <c r="G189" s="26">
        <v>2355</v>
      </c>
      <c r="H189" s="26">
        <v>1724</v>
      </c>
      <c r="I189" s="26">
        <v>2125</v>
      </c>
      <c r="J189" s="26">
        <v>1626</v>
      </c>
      <c r="K189" s="26"/>
      <c r="L189" s="26"/>
      <c r="M189" s="26"/>
      <c r="N189" s="26"/>
      <c r="O189" s="26"/>
      <c r="P189" s="26"/>
      <c r="Q189" s="26"/>
      <c r="R189" s="18">
        <f t="shared" si="2"/>
        <v>10014</v>
      </c>
    </row>
    <row r="190" spans="1:18" s="2" customFormat="1" ht="15">
      <c r="A190" s="4" t="s">
        <v>300</v>
      </c>
      <c r="B190" s="3" t="s">
        <v>379</v>
      </c>
      <c r="C190" s="4" t="s">
        <v>380</v>
      </c>
      <c r="D190" s="4">
        <v>18.78</v>
      </c>
      <c r="E190" s="29">
        <v>2014</v>
      </c>
      <c r="F190" s="26">
        <v>3100</v>
      </c>
      <c r="G190" s="26">
        <v>3877</v>
      </c>
      <c r="H190" s="26">
        <v>3072</v>
      </c>
      <c r="I190" s="26">
        <v>3135</v>
      </c>
      <c r="J190" s="26">
        <v>2668</v>
      </c>
      <c r="K190" s="26"/>
      <c r="L190" s="26"/>
      <c r="M190" s="26"/>
      <c r="N190" s="26"/>
      <c r="O190" s="26"/>
      <c r="P190" s="26"/>
      <c r="Q190" s="26"/>
      <c r="R190" s="18">
        <f t="shared" si="2"/>
        <v>15852</v>
      </c>
    </row>
    <row r="191" spans="1:18" s="2" customFormat="1" ht="15">
      <c r="A191" s="4" t="s">
        <v>300</v>
      </c>
      <c r="B191" s="3" t="s">
        <v>381</v>
      </c>
      <c r="C191" s="4" t="s">
        <v>382</v>
      </c>
      <c r="D191" s="4">
        <v>18.8</v>
      </c>
      <c r="E191" s="29">
        <v>2014</v>
      </c>
      <c r="F191" s="26">
        <v>2757</v>
      </c>
      <c r="G191" s="26">
        <v>3204</v>
      </c>
      <c r="H191" s="26">
        <v>2466</v>
      </c>
      <c r="I191" s="26">
        <v>3124</v>
      </c>
      <c r="J191" s="26">
        <v>2869</v>
      </c>
      <c r="K191" s="26"/>
      <c r="L191" s="26"/>
      <c r="M191" s="26"/>
      <c r="N191" s="26"/>
      <c r="O191" s="26"/>
      <c r="P191" s="26"/>
      <c r="Q191" s="26"/>
      <c r="R191" s="18">
        <f t="shared" si="2"/>
        <v>14420</v>
      </c>
    </row>
    <row r="192" spans="1:18" s="2" customFormat="1" ht="15">
      <c r="A192" s="4" t="s">
        <v>300</v>
      </c>
      <c r="B192" s="3">
        <v>394</v>
      </c>
      <c r="C192" s="4" t="s">
        <v>383</v>
      </c>
      <c r="D192" s="4">
        <v>30.1</v>
      </c>
      <c r="E192" s="29">
        <v>2014</v>
      </c>
      <c r="F192" s="26">
        <v>5102</v>
      </c>
      <c r="G192" s="26">
        <v>5483</v>
      </c>
      <c r="H192" s="26">
        <v>5398</v>
      </c>
      <c r="I192" s="26">
        <v>3940</v>
      </c>
      <c r="J192" s="26">
        <v>4771</v>
      </c>
      <c r="K192" s="26"/>
      <c r="L192" s="26"/>
      <c r="M192" s="26"/>
      <c r="N192" s="26"/>
      <c r="O192" s="26"/>
      <c r="P192" s="26"/>
      <c r="Q192" s="26"/>
      <c r="R192" s="18">
        <f t="shared" si="2"/>
        <v>24694</v>
      </c>
    </row>
    <row r="193" spans="1:18" s="2" customFormat="1" ht="15">
      <c r="A193" s="4" t="s">
        <v>300</v>
      </c>
      <c r="B193" s="3">
        <v>240</v>
      </c>
      <c r="C193" s="4" t="s">
        <v>384</v>
      </c>
      <c r="D193" s="4">
        <v>3.72</v>
      </c>
      <c r="E193" s="29">
        <v>2015</v>
      </c>
      <c r="F193" s="26">
        <v>700</v>
      </c>
      <c r="G193" s="26">
        <v>738</v>
      </c>
      <c r="H193" s="26">
        <v>533</v>
      </c>
      <c r="I193" s="26">
        <v>536</v>
      </c>
      <c r="J193" s="26">
        <v>460</v>
      </c>
      <c r="K193" s="26"/>
      <c r="L193" s="26"/>
      <c r="M193" s="26"/>
      <c r="N193" s="26"/>
      <c r="O193" s="26"/>
      <c r="P193" s="26"/>
      <c r="Q193" s="26"/>
      <c r="R193" s="18">
        <f t="shared" si="2"/>
        <v>2967</v>
      </c>
    </row>
    <row r="194" spans="1:18" s="2" customFormat="1" ht="15">
      <c r="A194" s="4" t="s">
        <v>385</v>
      </c>
      <c r="B194" s="3" t="s">
        <v>386</v>
      </c>
      <c r="C194" s="4" t="s">
        <v>387</v>
      </c>
      <c r="D194" s="4">
        <v>17.84</v>
      </c>
      <c r="E194" s="29">
        <v>2014</v>
      </c>
      <c r="F194" s="26">
        <v>2520</v>
      </c>
      <c r="G194" s="26">
        <v>2636</v>
      </c>
      <c r="H194" s="26">
        <v>2435</v>
      </c>
      <c r="I194" s="26">
        <v>2549</v>
      </c>
      <c r="J194" s="26">
        <v>1750</v>
      </c>
      <c r="K194" s="26"/>
      <c r="L194" s="26"/>
      <c r="M194" s="26"/>
      <c r="N194" s="26"/>
      <c r="O194" s="26"/>
      <c r="P194" s="26"/>
      <c r="Q194" s="26"/>
      <c r="R194" s="18">
        <f t="shared" si="2"/>
        <v>11890</v>
      </c>
    </row>
    <row r="195" spans="1:18" s="2" customFormat="1" ht="15">
      <c r="A195" s="4" t="s">
        <v>385</v>
      </c>
      <c r="B195" s="3" t="s">
        <v>388</v>
      </c>
      <c r="C195" s="4" t="s">
        <v>389</v>
      </c>
      <c r="D195" s="4">
        <v>18.760000000000002</v>
      </c>
      <c r="E195" s="29">
        <v>2014</v>
      </c>
      <c r="F195" s="26">
        <v>2769</v>
      </c>
      <c r="G195" s="26">
        <v>3106</v>
      </c>
      <c r="H195" s="26">
        <v>2682</v>
      </c>
      <c r="I195" s="26">
        <v>2713</v>
      </c>
      <c r="J195" s="26">
        <v>2146</v>
      </c>
      <c r="K195" s="26"/>
      <c r="L195" s="26"/>
      <c r="M195" s="26"/>
      <c r="N195" s="26"/>
      <c r="O195" s="26"/>
      <c r="P195" s="26"/>
      <c r="Q195" s="26"/>
      <c r="R195" s="18">
        <f t="shared" ref="R195:R258" si="3">SUM(F195:Q195)</f>
        <v>13416</v>
      </c>
    </row>
    <row r="196" spans="1:18" s="2" customFormat="1" ht="15">
      <c r="A196" s="4" t="s">
        <v>385</v>
      </c>
      <c r="B196" s="3" t="s">
        <v>390</v>
      </c>
      <c r="C196" s="4" t="s">
        <v>391</v>
      </c>
      <c r="D196" s="4">
        <v>19.850000000000001</v>
      </c>
      <c r="E196" s="29">
        <v>2014</v>
      </c>
      <c r="F196" s="26">
        <v>2131</v>
      </c>
      <c r="G196" s="26">
        <v>3150</v>
      </c>
      <c r="H196" s="26">
        <v>2562</v>
      </c>
      <c r="I196" s="26">
        <v>2695</v>
      </c>
      <c r="J196" s="26">
        <v>1983</v>
      </c>
      <c r="K196" s="26"/>
      <c r="L196" s="26"/>
      <c r="M196" s="26"/>
      <c r="N196" s="26"/>
      <c r="O196" s="26"/>
      <c r="P196" s="26"/>
      <c r="Q196" s="26"/>
      <c r="R196" s="18">
        <f t="shared" si="3"/>
        <v>12521</v>
      </c>
    </row>
    <row r="197" spans="1:18" s="2" customFormat="1" ht="15">
      <c r="A197" s="4" t="s">
        <v>385</v>
      </c>
      <c r="B197" s="3" t="s">
        <v>392</v>
      </c>
      <c r="C197" s="4" t="s">
        <v>393</v>
      </c>
      <c r="D197" s="4">
        <v>18.52</v>
      </c>
      <c r="E197" s="29">
        <v>2014</v>
      </c>
      <c r="F197" s="26">
        <v>2284</v>
      </c>
      <c r="G197" s="26">
        <v>3767</v>
      </c>
      <c r="H197" s="26">
        <v>2841</v>
      </c>
      <c r="I197" s="26">
        <v>2782</v>
      </c>
      <c r="J197" s="26">
        <v>2224</v>
      </c>
      <c r="K197" s="26"/>
      <c r="L197" s="26"/>
      <c r="M197" s="26"/>
      <c r="N197" s="26"/>
      <c r="O197" s="26"/>
      <c r="P197" s="26"/>
      <c r="Q197" s="26"/>
      <c r="R197" s="18">
        <f t="shared" si="3"/>
        <v>13898</v>
      </c>
    </row>
    <row r="198" spans="1:18" s="2" customFormat="1" ht="15">
      <c r="A198" s="4" t="s">
        <v>385</v>
      </c>
      <c r="B198" s="3" t="s">
        <v>394</v>
      </c>
      <c r="C198" s="4" t="s">
        <v>395</v>
      </c>
      <c r="D198" s="4">
        <v>22.97</v>
      </c>
      <c r="E198" s="29">
        <v>2014</v>
      </c>
      <c r="F198" s="26">
        <v>3433</v>
      </c>
      <c r="G198" s="26">
        <v>4931</v>
      </c>
      <c r="H198" s="26">
        <v>3263</v>
      </c>
      <c r="I198" s="26">
        <v>3482</v>
      </c>
      <c r="J198" s="26">
        <v>3616</v>
      </c>
      <c r="K198" s="26"/>
      <c r="L198" s="26"/>
      <c r="M198" s="26"/>
      <c r="N198" s="26"/>
      <c r="O198" s="26"/>
      <c r="P198" s="26"/>
      <c r="Q198" s="26"/>
      <c r="R198" s="18">
        <f t="shared" si="3"/>
        <v>18725</v>
      </c>
    </row>
    <row r="199" spans="1:18" s="2" customFormat="1" ht="15">
      <c r="A199" s="4" t="s">
        <v>385</v>
      </c>
      <c r="B199" s="3" t="s">
        <v>396</v>
      </c>
      <c r="C199" s="4" t="s">
        <v>397</v>
      </c>
      <c r="D199" s="4">
        <v>14.4</v>
      </c>
      <c r="E199" s="29">
        <v>2015</v>
      </c>
      <c r="F199" s="26">
        <v>2326</v>
      </c>
      <c r="G199" s="26">
        <v>3396</v>
      </c>
      <c r="H199" s="26">
        <v>2175</v>
      </c>
      <c r="I199" s="26">
        <v>2164</v>
      </c>
      <c r="J199" s="26">
        <v>2372</v>
      </c>
      <c r="K199" s="26"/>
      <c r="L199" s="26"/>
      <c r="M199" s="26"/>
      <c r="N199" s="26"/>
      <c r="O199" s="26"/>
      <c r="P199" s="26"/>
      <c r="Q199" s="26"/>
      <c r="R199" s="18">
        <f t="shared" si="3"/>
        <v>12433</v>
      </c>
    </row>
    <row r="200" spans="1:18" s="2" customFormat="1" ht="15">
      <c r="A200" s="4" t="s">
        <v>385</v>
      </c>
      <c r="B200" s="3" t="s">
        <v>398</v>
      </c>
      <c r="C200" s="4" t="s">
        <v>399</v>
      </c>
      <c r="D200" s="4">
        <v>9.32</v>
      </c>
      <c r="E200" s="29">
        <v>2014</v>
      </c>
      <c r="F200" s="26">
        <v>1945</v>
      </c>
      <c r="G200" s="26">
        <v>1877</v>
      </c>
      <c r="H200" s="26">
        <v>1764</v>
      </c>
      <c r="I200" s="26">
        <v>1512</v>
      </c>
      <c r="J200" s="26">
        <v>1114</v>
      </c>
      <c r="K200" s="26"/>
      <c r="L200" s="26"/>
      <c r="M200" s="26"/>
      <c r="N200" s="26"/>
      <c r="O200" s="26"/>
      <c r="P200" s="26"/>
      <c r="Q200" s="26"/>
      <c r="R200" s="18">
        <f t="shared" si="3"/>
        <v>8212</v>
      </c>
    </row>
    <row r="201" spans="1:18" s="2" customFormat="1" ht="15">
      <c r="A201" s="4" t="s">
        <v>385</v>
      </c>
      <c r="B201" s="3" t="s">
        <v>400</v>
      </c>
      <c r="C201" s="4" t="s">
        <v>401</v>
      </c>
      <c r="D201" s="4">
        <v>13.92</v>
      </c>
      <c r="E201" s="29">
        <v>2014</v>
      </c>
      <c r="F201" s="26">
        <v>2735</v>
      </c>
      <c r="G201" s="26">
        <v>2472</v>
      </c>
      <c r="H201" s="26">
        <v>2269</v>
      </c>
      <c r="I201" s="26">
        <v>1764</v>
      </c>
      <c r="J201" s="26">
        <v>1187</v>
      </c>
      <c r="K201" s="26"/>
      <c r="L201" s="26"/>
      <c r="M201" s="26"/>
      <c r="N201" s="26"/>
      <c r="O201" s="26"/>
      <c r="P201" s="26"/>
      <c r="Q201" s="26"/>
      <c r="R201" s="18">
        <f t="shared" si="3"/>
        <v>10427</v>
      </c>
    </row>
    <row r="202" spans="1:18" s="2" customFormat="1" ht="15">
      <c r="A202" s="4" t="s">
        <v>385</v>
      </c>
      <c r="B202" s="3" t="s">
        <v>402</v>
      </c>
      <c r="C202" s="4" t="s">
        <v>403</v>
      </c>
      <c r="D202" s="4">
        <v>17.11</v>
      </c>
      <c r="E202" s="29">
        <v>2014</v>
      </c>
      <c r="F202" s="26">
        <v>3111</v>
      </c>
      <c r="G202" s="26">
        <v>2680</v>
      </c>
      <c r="H202" s="26">
        <v>2320</v>
      </c>
      <c r="I202" s="26">
        <v>2259</v>
      </c>
      <c r="J202" s="26">
        <v>1655</v>
      </c>
      <c r="K202" s="26"/>
      <c r="L202" s="26"/>
      <c r="M202" s="26"/>
      <c r="N202" s="26"/>
      <c r="O202" s="26"/>
      <c r="P202" s="26"/>
      <c r="Q202" s="26"/>
      <c r="R202" s="18">
        <f t="shared" si="3"/>
        <v>12025</v>
      </c>
    </row>
    <row r="203" spans="1:18" s="2" customFormat="1" ht="15">
      <c r="A203" s="4" t="s">
        <v>385</v>
      </c>
      <c r="B203" s="3" t="s">
        <v>404</v>
      </c>
      <c r="C203" s="4" t="s">
        <v>405</v>
      </c>
      <c r="D203" s="4">
        <v>18.559999999999999</v>
      </c>
      <c r="E203" s="29">
        <v>2014</v>
      </c>
      <c r="F203" s="26">
        <v>3830</v>
      </c>
      <c r="G203" s="26">
        <v>3744</v>
      </c>
      <c r="H203" s="26">
        <v>3561</v>
      </c>
      <c r="I203" s="26">
        <v>3163</v>
      </c>
      <c r="J203" s="26">
        <v>2117</v>
      </c>
      <c r="K203" s="26"/>
      <c r="L203" s="26"/>
      <c r="M203" s="26"/>
      <c r="N203" s="26"/>
      <c r="O203" s="26"/>
      <c r="P203" s="26"/>
      <c r="Q203" s="26"/>
      <c r="R203" s="18">
        <f t="shared" si="3"/>
        <v>16415</v>
      </c>
    </row>
    <row r="204" spans="1:18" s="2" customFormat="1" ht="15">
      <c r="A204" s="4" t="s">
        <v>385</v>
      </c>
      <c r="B204" s="3" t="s">
        <v>406</v>
      </c>
      <c r="C204" s="4" t="s">
        <v>407</v>
      </c>
      <c r="D204" s="4">
        <v>18.52</v>
      </c>
      <c r="E204" s="29">
        <v>2014</v>
      </c>
      <c r="F204" s="26">
        <v>2685</v>
      </c>
      <c r="G204" s="26">
        <v>2497</v>
      </c>
      <c r="H204" s="26">
        <v>2354</v>
      </c>
      <c r="I204" s="26">
        <v>1969</v>
      </c>
      <c r="J204" s="26">
        <v>1667</v>
      </c>
      <c r="K204" s="26"/>
      <c r="L204" s="26"/>
      <c r="M204" s="26"/>
      <c r="N204" s="26"/>
      <c r="O204" s="26"/>
      <c r="P204" s="26"/>
      <c r="Q204" s="26"/>
      <c r="R204" s="18">
        <f t="shared" si="3"/>
        <v>11172</v>
      </c>
    </row>
    <row r="205" spans="1:18" s="2" customFormat="1" ht="15">
      <c r="A205" s="4" t="s">
        <v>385</v>
      </c>
      <c r="B205" s="3" t="s">
        <v>408</v>
      </c>
      <c r="C205" s="4" t="s">
        <v>409</v>
      </c>
      <c r="D205" s="4">
        <v>19.63</v>
      </c>
      <c r="E205" s="29">
        <v>2014</v>
      </c>
      <c r="F205" s="26">
        <v>2522</v>
      </c>
      <c r="G205" s="26">
        <v>3810</v>
      </c>
      <c r="H205" s="26">
        <v>2963</v>
      </c>
      <c r="I205" s="26">
        <v>3003</v>
      </c>
      <c r="J205" s="26">
        <v>2138</v>
      </c>
      <c r="K205" s="26"/>
      <c r="L205" s="26"/>
      <c r="M205" s="26"/>
      <c r="N205" s="26"/>
      <c r="O205" s="26"/>
      <c r="P205" s="26"/>
      <c r="Q205" s="26"/>
      <c r="R205" s="18">
        <f t="shared" si="3"/>
        <v>14436</v>
      </c>
    </row>
    <row r="206" spans="1:18" s="2" customFormat="1" ht="15">
      <c r="A206" s="4" t="s">
        <v>385</v>
      </c>
      <c r="B206" s="3" t="s">
        <v>410</v>
      </c>
      <c r="C206" s="4" t="s">
        <v>411</v>
      </c>
      <c r="D206" s="4">
        <v>6.38</v>
      </c>
      <c r="E206" s="29">
        <v>2014</v>
      </c>
      <c r="F206" s="26">
        <v>1060</v>
      </c>
      <c r="G206" s="26">
        <v>1195</v>
      </c>
      <c r="H206" s="26">
        <v>940</v>
      </c>
      <c r="I206" s="26">
        <v>696</v>
      </c>
      <c r="J206" s="26">
        <v>1019</v>
      </c>
      <c r="K206" s="26"/>
      <c r="L206" s="26"/>
      <c r="M206" s="26"/>
      <c r="N206" s="26"/>
      <c r="O206" s="26"/>
      <c r="P206" s="26"/>
      <c r="Q206" s="26"/>
      <c r="R206" s="18">
        <f t="shared" si="3"/>
        <v>4910</v>
      </c>
    </row>
    <row r="207" spans="1:18" s="2" customFormat="1" ht="15">
      <c r="A207" s="4" t="s">
        <v>385</v>
      </c>
      <c r="B207" s="3" t="s">
        <v>412</v>
      </c>
      <c r="C207" s="4" t="s">
        <v>413</v>
      </c>
      <c r="D207" s="4">
        <v>3.51</v>
      </c>
      <c r="E207" s="29">
        <v>2014</v>
      </c>
      <c r="F207" s="26">
        <v>655</v>
      </c>
      <c r="G207" s="26">
        <v>733</v>
      </c>
      <c r="H207" s="26">
        <v>607</v>
      </c>
      <c r="I207" s="26">
        <v>519</v>
      </c>
      <c r="J207" s="26">
        <v>539</v>
      </c>
      <c r="K207" s="26"/>
      <c r="L207" s="26"/>
      <c r="M207" s="26"/>
      <c r="N207" s="26"/>
      <c r="O207" s="26"/>
      <c r="P207" s="26"/>
      <c r="Q207" s="26"/>
      <c r="R207" s="18">
        <f t="shared" si="3"/>
        <v>3053</v>
      </c>
    </row>
    <row r="208" spans="1:18" s="2" customFormat="1" ht="15">
      <c r="A208" s="4" t="s">
        <v>385</v>
      </c>
      <c r="B208" s="3" t="s">
        <v>414</v>
      </c>
      <c r="C208" s="4" t="s">
        <v>415</v>
      </c>
      <c r="D208" s="4">
        <v>0.59</v>
      </c>
      <c r="E208" s="29">
        <v>2014</v>
      </c>
      <c r="F208" s="26">
        <v>97</v>
      </c>
      <c r="G208" s="26">
        <v>136</v>
      </c>
      <c r="H208" s="26">
        <v>101</v>
      </c>
      <c r="I208" s="26">
        <v>73</v>
      </c>
      <c r="J208" s="26">
        <v>88</v>
      </c>
      <c r="K208" s="26"/>
      <c r="L208" s="26"/>
      <c r="M208" s="26"/>
      <c r="N208" s="26"/>
      <c r="O208" s="26"/>
      <c r="P208" s="26"/>
      <c r="Q208" s="26"/>
      <c r="R208" s="18">
        <f t="shared" si="3"/>
        <v>495</v>
      </c>
    </row>
    <row r="209" spans="1:18" s="2" customFormat="1" ht="15">
      <c r="A209" s="4" t="s">
        <v>385</v>
      </c>
      <c r="B209" s="3" t="s">
        <v>416</v>
      </c>
      <c r="C209" s="4" t="s">
        <v>417</v>
      </c>
      <c r="D209" s="4">
        <v>18.59</v>
      </c>
      <c r="E209" s="29">
        <v>2014</v>
      </c>
      <c r="F209" s="26">
        <v>2503</v>
      </c>
      <c r="G209" s="26">
        <v>3609</v>
      </c>
      <c r="H209" s="26">
        <v>2778</v>
      </c>
      <c r="I209" s="26">
        <v>2633</v>
      </c>
      <c r="J209" s="26">
        <v>2401</v>
      </c>
      <c r="K209" s="26"/>
      <c r="L209" s="26"/>
      <c r="M209" s="26"/>
      <c r="N209" s="26"/>
      <c r="O209" s="26"/>
      <c r="P209" s="26"/>
      <c r="Q209" s="26"/>
      <c r="R209" s="18">
        <f t="shared" si="3"/>
        <v>13924</v>
      </c>
    </row>
    <row r="210" spans="1:18" s="2" customFormat="1" ht="15">
      <c r="A210" s="4" t="s">
        <v>385</v>
      </c>
      <c r="B210" s="3" t="s">
        <v>418</v>
      </c>
      <c r="C210" s="4" t="s">
        <v>419</v>
      </c>
      <c r="D210" s="4">
        <v>18.5</v>
      </c>
      <c r="E210" s="29">
        <v>2014</v>
      </c>
      <c r="F210" s="26">
        <v>3090</v>
      </c>
      <c r="G210" s="26">
        <v>3626</v>
      </c>
      <c r="H210" s="26">
        <v>2575</v>
      </c>
      <c r="I210" s="26">
        <v>2469</v>
      </c>
      <c r="J210" s="26">
        <v>2890</v>
      </c>
      <c r="K210" s="26"/>
      <c r="L210" s="26"/>
      <c r="M210" s="26"/>
      <c r="N210" s="26"/>
      <c r="O210" s="26"/>
      <c r="P210" s="26"/>
      <c r="Q210" s="26"/>
      <c r="R210" s="18">
        <f t="shared" si="3"/>
        <v>14650</v>
      </c>
    </row>
    <row r="211" spans="1:18" s="2" customFormat="1" ht="15">
      <c r="A211" s="4" t="s">
        <v>385</v>
      </c>
      <c r="B211" s="3" t="s">
        <v>420</v>
      </c>
      <c r="C211" s="4" t="s">
        <v>421</v>
      </c>
      <c r="D211" s="4">
        <v>18.05</v>
      </c>
      <c r="E211" s="29">
        <v>2014</v>
      </c>
      <c r="F211" s="26">
        <v>2953</v>
      </c>
      <c r="G211" s="26">
        <v>3469</v>
      </c>
      <c r="H211" s="26">
        <v>2455</v>
      </c>
      <c r="I211" s="26">
        <v>2248</v>
      </c>
      <c r="J211" s="26">
        <v>2626</v>
      </c>
      <c r="K211" s="26"/>
      <c r="L211" s="26"/>
      <c r="M211" s="26"/>
      <c r="N211" s="26"/>
      <c r="O211" s="26"/>
      <c r="P211" s="26"/>
      <c r="Q211" s="26"/>
      <c r="R211" s="18">
        <f t="shared" si="3"/>
        <v>13751</v>
      </c>
    </row>
    <row r="212" spans="1:18" s="2" customFormat="1" ht="15">
      <c r="A212" s="4" t="s">
        <v>385</v>
      </c>
      <c r="B212" s="3" t="s">
        <v>422</v>
      </c>
      <c r="C212" s="4" t="s">
        <v>423</v>
      </c>
      <c r="D212" s="4">
        <v>17.260000000000002</v>
      </c>
      <c r="E212" s="29">
        <v>2014</v>
      </c>
      <c r="F212" s="26">
        <v>2803</v>
      </c>
      <c r="G212" s="26">
        <v>3164</v>
      </c>
      <c r="H212" s="26">
        <v>1906</v>
      </c>
      <c r="I212" s="26">
        <v>2151</v>
      </c>
      <c r="J212" s="26">
        <v>2151</v>
      </c>
      <c r="K212" s="26"/>
      <c r="L212" s="26"/>
      <c r="M212" s="26"/>
      <c r="N212" s="26"/>
      <c r="O212" s="26"/>
      <c r="P212" s="26"/>
      <c r="Q212" s="26"/>
      <c r="R212" s="18">
        <f t="shared" si="3"/>
        <v>12175</v>
      </c>
    </row>
    <row r="213" spans="1:18" s="2" customFormat="1" ht="15">
      <c r="A213" s="4" t="s">
        <v>385</v>
      </c>
      <c r="B213" s="3" t="s">
        <v>424</v>
      </c>
      <c r="C213" s="4" t="s">
        <v>425</v>
      </c>
      <c r="D213" s="4">
        <v>13.12</v>
      </c>
      <c r="E213" s="29">
        <v>2014</v>
      </c>
      <c r="F213" s="26">
        <v>2277</v>
      </c>
      <c r="G213" s="26">
        <v>2480</v>
      </c>
      <c r="H213" s="26">
        <v>1806</v>
      </c>
      <c r="I213" s="26">
        <v>1821</v>
      </c>
      <c r="J213" s="26">
        <v>1790</v>
      </c>
      <c r="K213" s="26"/>
      <c r="L213" s="26"/>
      <c r="M213" s="26"/>
      <c r="N213" s="26"/>
      <c r="O213" s="26"/>
      <c r="P213" s="26"/>
      <c r="Q213" s="26"/>
      <c r="R213" s="18">
        <f t="shared" si="3"/>
        <v>10174</v>
      </c>
    </row>
    <row r="214" spans="1:18" s="2" customFormat="1" ht="15">
      <c r="A214" s="4" t="s">
        <v>385</v>
      </c>
      <c r="B214" s="3" t="s">
        <v>426</v>
      </c>
      <c r="C214" s="4" t="s">
        <v>427</v>
      </c>
      <c r="D214" s="4">
        <v>11.11</v>
      </c>
      <c r="E214" s="29">
        <v>2014</v>
      </c>
      <c r="F214" s="26">
        <v>1650</v>
      </c>
      <c r="G214" s="26">
        <v>1910</v>
      </c>
      <c r="H214" s="26">
        <v>1391</v>
      </c>
      <c r="I214" s="26">
        <v>1516</v>
      </c>
      <c r="J214" s="26">
        <v>1614</v>
      </c>
      <c r="K214" s="26"/>
      <c r="L214" s="26"/>
      <c r="M214" s="26"/>
      <c r="N214" s="26"/>
      <c r="O214" s="26"/>
      <c r="P214" s="26"/>
      <c r="Q214" s="26"/>
      <c r="R214" s="18">
        <f t="shared" si="3"/>
        <v>8081</v>
      </c>
    </row>
    <row r="215" spans="1:18" s="2" customFormat="1" ht="15">
      <c r="A215" s="4" t="s">
        <v>385</v>
      </c>
      <c r="B215" s="3" t="s">
        <v>428</v>
      </c>
      <c r="C215" s="4" t="s">
        <v>429</v>
      </c>
      <c r="D215" s="4">
        <v>7.62</v>
      </c>
      <c r="E215" s="29">
        <v>2014</v>
      </c>
      <c r="F215" s="26">
        <v>1402</v>
      </c>
      <c r="G215" s="26">
        <v>1444</v>
      </c>
      <c r="H215" s="26">
        <v>1140</v>
      </c>
      <c r="I215" s="26">
        <v>938</v>
      </c>
      <c r="J215" s="26">
        <v>897</v>
      </c>
      <c r="K215" s="26"/>
      <c r="L215" s="26"/>
      <c r="M215" s="26"/>
      <c r="N215" s="26"/>
      <c r="O215" s="26"/>
      <c r="P215" s="26"/>
      <c r="Q215" s="26"/>
      <c r="R215" s="18">
        <f t="shared" si="3"/>
        <v>5821</v>
      </c>
    </row>
    <row r="216" spans="1:18" s="2" customFormat="1" ht="15">
      <c r="A216" s="4" t="s">
        <v>385</v>
      </c>
      <c r="B216" s="3" t="s">
        <v>430</v>
      </c>
      <c r="C216" s="4" t="s">
        <v>431</v>
      </c>
      <c r="D216" s="4">
        <v>19.48</v>
      </c>
      <c r="E216" s="29">
        <v>2014</v>
      </c>
      <c r="F216" s="26">
        <v>3063</v>
      </c>
      <c r="G216" s="26">
        <v>3372</v>
      </c>
      <c r="H216" s="26">
        <v>3422</v>
      </c>
      <c r="I216" s="26">
        <v>3135</v>
      </c>
      <c r="J216" s="26">
        <v>3011</v>
      </c>
      <c r="K216" s="26"/>
      <c r="L216" s="26"/>
      <c r="M216" s="26"/>
      <c r="N216" s="26"/>
      <c r="O216" s="26"/>
      <c r="P216" s="26"/>
      <c r="Q216" s="26"/>
      <c r="R216" s="18">
        <f t="shared" si="3"/>
        <v>16003</v>
      </c>
    </row>
    <row r="217" spans="1:18" s="2" customFormat="1" ht="15">
      <c r="A217" s="4" t="s">
        <v>385</v>
      </c>
      <c r="B217" s="3" t="s">
        <v>432</v>
      </c>
      <c r="C217" s="4" t="s">
        <v>433</v>
      </c>
      <c r="D217" s="4">
        <v>18.559999999999999</v>
      </c>
      <c r="E217" s="29">
        <v>2014</v>
      </c>
      <c r="F217" s="26">
        <v>3160</v>
      </c>
      <c r="G217" s="26">
        <v>2812</v>
      </c>
      <c r="H217" s="26">
        <v>2509</v>
      </c>
      <c r="I217" s="26">
        <v>2493</v>
      </c>
      <c r="J217" s="26">
        <v>2644</v>
      </c>
      <c r="K217" s="26"/>
      <c r="L217" s="26"/>
      <c r="M217" s="26"/>
      <c r="N217" s="26"/>
      <c r="O217" s="26"/>
      <c r="P217" s="26"/>
      <c r="Q217" s="26"/>
      <c r="R217" s="18">
        <f t="shared" si="3"/>
        <v>13618</v>
      </c>
    </row>
    <row r="218" spans="1:18" s="2" customFormat="1" ht="15">
      <c r="A218" s="4" t="s">
        <v>385</v>
      </c>
      <c r="B218" s="3" t="s">
        <v>434</v>
      </c>
      <c r="C218" s="4" t="s">
        <v>435</v>
      </c>
      <c r="D218" s="4">
        <v>5.31</v>
      </c>
      <c r="E218" s="29">
        <v>2014</v>
      </c>
      <c r="F218" s="26">
        <v>866</v>
      </c>
      <c r="G218" s="26">
        <v>1056</v>
      </c>
      <c r="H218" s="26">
        <v>643</v>
      </c>
      <c r="I218" s="26">
        <v>639</v>
      </c>
      <c r="J218" s="26">
        <v>569</v>
      </c>
      <c r="K218" s="26"/>
      <c r="L218" s="26"/>
      <c r="M218" s="26"/>
      <c r="N218" s="26"/>
      <c r="O218" s="26"/>
      <c r="P218" s="26"/>
      <c r="Q218" s="26"/>
      <c r="R218" s="18">
        <f t="shared" si="3"/>
        <v>3773</v>
      </c>
    </row>
    <row r="219" spans="1:18" s="2" customFormat="1" ht="15">
      <c r="A219" s="4" t="s">
        <v>385</v>
      </c>
      <c r="B219" s="3" t="s">
        <v>436</v>
      </c>
      <c r="C219" s="4" t="s">
        <v>437</v>
      </c>
      <c r="D219" s="4">
        <v>17.329999999999998</v>
      </c>
      <c r="E219" s="29">
        <v>2014</v>
      </c>
      <c r="F219" s="26">
        <v>3882</v>
      </c>
      <c r="G219" s="26">
        <v>3601</v>
      </c>
      <c r="H219" s="26">
        <v>3318</v>
      </c>
      <c r="I219" s="26">
        <v>2919</v>
      </c>
      <c r="J219" s="26">
        <v>1965</v>
      </c>
      <c r="K219" s="26"/>
      <c r="L219" s="26"/>
      <c r="M219" s="26"/>
      <c r="N219" s="26"/>
      <c r="O219" s="26"/>
      <c r="P219" s="26"/>
      <c r="Q219" s="26"/>
      <c r="R219" s="18">
        <f t="shared" si="3"/>
        <v>15685</v>
      </c>
    </row>
    <row r="220" spans="1:18" s="2" customFormat="1" ht="15">
      <c r="A220" s="4" t="s">
        <v>385</v>
      </c>
      <c r="B220" s="3" t="s">
        <v>438</v>
      </c>
      <c r="C220" s="4" t="s">
        <v>439</v>
      </c>
      <c r="D220" s="4">
        <v>18.48</v>
      </c>
      <c r="E220" s="29">
        <v>2014</v>
      </c>
      <c r="F220" s="26">
        <v>3226</v>
      </c>
      <c r="G220" s="26">
        <v>2849</v>
      </c>
      <c r="H220" s="26">
        <v>2722</v>
      </c>
      <c r="I220" s="26">
        <v>2413</v>
      </c>
      <c r="J220" s="26">
        <v>1746</v>
      </c>
      <c r="K220" s="26"/>
      <c r="L220" s="26"/>
      <c r="M220" s="26"/>
      <c r="N220" s="26"/>
      <c r="O220" s="26"/>
      <c r="P220" s="26"/>
      <c r="Q220" s="26"/>
      <c r="R220" s="18">
        <f t="shared" si="3"/>
        <v>12956</v>
      </c>
    </row>
    <row r="221" spans="1:18" s="2" customFormat="1" ht="15">
      <c r="A221" s="4" t="s">
        <v>385</v>
      </c>
      <c r="B221" s="3" t="s">
        <v>440</v>
      </c>
      <c r="C221" s="4" t="s">
        <v>441</v>
      </c>
      <c r="D221" s="4">
        <v>18.98</v>
      </c>
      <c r="E221" s="29">
        <v>2014</v>
      </c>
      <c r="F221" s="26">
        <v>3745</v>
      </c>
      <c r="G221" s="26">
        <v>4061</v>
      </c>
      <c r="H221" s="26">
        <v>3743</v>
      </c>
      <c r="I221" s="26">
        <v>3029</v>
      </c>
      <c r="J221" s="26">
        <v>3207</v>
      </c>
      <c r="K221" s="26"/>
      <c r="L221" s="26"/>
      <c r="M221" s="26"/>
      <c r="N221" s="26"/>
      <c r="O221" s="26"/>
      <c r="P221" s="26"/>
      <c r="Q221" s="26"/>
      <c r="R221" s="18">
        <f t="shared" si="3"/>
        <v>17785</v>
      </c>
    </row>
    <row r="222" spans="1:18" s="2" customFormat="1" ht="15">
      <c r="A222" s="4" t="s">
        <v>385</v>
      </c>
      <c r="B222" s="3" t="s">
        <v>442</v>
      </c>
      <c r="C222" s="4" t="s">
        <v>443</v>
      </c>
      <c r="D222" s="4">
        <v>17.989999999999998</v>
      </c>
      <c r="E222" s="29">
        <v>2014</v>
      </c>
      <c r="F222" s="26">
        <v>3368</v>
      </c>
      <c r="G222" s="26">
        <v>3063</v>
      </c>
      <c r="H222" s="26">
        <v>3093</v>
      </c>
      <c r="I222" s="26">
        <v>2717</v>
      </c>
      <c r="J222" s="26">
        <v>2775</v>
      </c>
      <c r="K222" s="26"/>
      <c r="L222" s="26"/>
      <c r="M222" s="26"/>
      <c r="N222" s="26"/>
      <c r="O222" s="26"/>
      <c r="P222" s="26"/>
      <c r="Q222" s="26"/>
      <c r="R222" s="18">
        <f t="shared" si="3"/>
        <v>15016</v>
      </c>
    </row>
    <row r="223" spans="1:18" s="2" customFormat="1" ht="15">
      <c r="A223" s="4" t="s">
        <v>385</v>
      </c>
      <c r="B223" s="3" t="s">
        <v>444</v>
      </c>
      <c r="C223" s="4" t="s">
        <v>445</v>
      </c>
      <c r="D223" s="4">
        <v>15.06</v>
      </c>
      <c r="E223" s="29">
        <v>2014</v>
      </c>
      <c r="F223" s="26">
        <v>2871</v>
      </c>
      <c r="G223" s="26">
        <v>2924</v>
      </c>
      <c r="H223" s="26">
        <v>3074</v>
      </c>
      <c r="I223" s="26">
        <v>2503</v>
      </c>
      <c r="J223" s="26">
        <v>2498</v>
      </c>
      <c r="K223" s="26"/>
      <c r="L223" s="26"/>
      <c r="M223" s="26"/>
      <c r="N223" s="26"/>
      <c r="O223" s="26"/>
      <c r="P223" s="26"/>
      <c r="Q223" s="26"/>
      <c r="R223" s="18">
        <f t="shared" si="3"/>
        <v>13870</v>
      </c>
    </row>
    <row r="224" spans="1:18" s="2" customFormat="1" ht="15">
      <c r="A224" s="4" t="s">
        <v>385</v>
      </c>
      <c r="B224" s="3" t="s">
        <v>446</v>
      </c>
      <c r="C224" s="4" t="s">
        <v>447</v>
      </c>
      <c r="D224" s="4">
        <v>12.77</v>
      </c>
      <c r="E224" s="29">
        <v>2014</v>
      </c>
      <c r="F224" s="26">
        <v>2834</v>
      </c>
      <c r="G224" s="26">
        <v>2734</v>
      </c>
      <c r="H224" s="26">
        <v>2685</v>
      </c>
      <c r="I224" s="26">
        <v>2344</v>
      </c>
      <c r="J224" s="26">
        <v>1739</v>
      </c>
      <c r="K224" s="26"/>
      <c r="L224" s="26"/>
      <c r="M224" s="26"/>
      <c r="N224" s="26"/>
      <c r="O224" s="26"/>
      <c r="P224" s="26"/>
      <c r="Q224" s="26"/>
      <c r="R224" s="18">
        <f t="shared" si="3"/>
        <v>12336</v>
      </c>
    </row>
    <row r="225" spans="1:18" s="2" customFormat="1" ht="15">
      <c r="A225" s="4" t="s">
        <v>385</v>
      </c>
      <c r="B225" s="3" t="s">
        <v>448</v>
      </c>
      <c r="C225" s="4" t="s">
        <v>449</v>
      </c>
      <c r="D225" s="4">
        <v>10.98</v>
      </c>
      <c r="E225" s="29">
        <v>2014</v>
      </c>
      <c r="F225" s="26">
        <v>1888</v>
      </c>
      <c r="G225" s="26">
        <v>1865</v>
      </c>
      <c r="H225" s="26">
        <v>1812</v>
      </c>
      <c r="I225" s="26">
        <v>1459</v>
      </c>
      <c r="J225" s="26">
        <v>1662</v>
      </c>
      <c r="K225" s="26"/>
      <c r="L225" s="26"/>
      <c r="M225" s="26"/>
      <c r="N225" s="26"/>
      <c r="O225" s="26"/>
      <c r="P225" s="26"/>
      <c r="Q225" s="26"/>
      <c r="R225" s="18">
        <f t="shared" si="3"/>
        <v>8686</v>
      </c>
    </row>
    <row r="226" spans="1:18" s="2" customFormat="1" ht="15">
      <c r="A226" s="4" t="s">
        <v>385</v>
      </c>
      <c r="B226" s="3" t="s">
        <v>450</v>
      </c>
      <c r="C226" s="4" t="s">
        <v>451</v>
      </c>
      <c r="D226" s="4">
        <v>6.73</v>
      </c>
      <c r="E226" s="29">
        <v>2014</v>
      </c>
      <c r="F226" s="26">
        <v>1140</v>
      </c>
      <c r="G226" s="26">
        <v>1133</v>
      </c>
      <c r="H226" s="26">
        <v>1052</v>
      </c>
      <c r="I226" s="26">
        <v>957</v>
      </c>
      <c r="J226" s="26">
        <v>1111</v>
      </c>
      <c r="K226" s="26"/>
      <c r="L226" s="26"/>
      <c r="M226" s="26"/>
      <c r="N226" s="26"/>
      <c r="O226" s="26"/>
      <c r="P226" s="26"/>
      <c r="Q226" s="26"/>
      <c r="R226" s="18">
        <f t="shared" si="3"/>
        <v>5393</v>
      </c>
    </row>
    <row r="227" spans="1:18" s="2" customFormat="1" ht="15">
      <c r="A227" s="4" t="s">
        <v>385</v>
      </c>
      <c r="B227" s="3" t="s">
        <v>452</v>
      </c>
      <c r="C227" s="4" t="s">
        <v>453</v>
      </c>
      <c r="D227" s="4">
        <v>5.87</v>
      </c>
      <c r="E227" s="29">
        <v>2014</v>
      </c>
      <c r="F227" s="26">
        <v>625</v>
      </c>
      <c r="G227" s="26">
        <v>630</v>
      </c>
      <c r="H227" s="26">
        <v>590</v>
      </c>
      <c r="I227" s="26">
        <v>585</v>
      </c>
      <c r="J227" s="26">
        <v>777</v>
      </c>
      <c r="K227" s="26"/>
      <c r="L227" s="26"/>
      <c r="M227" s="26"/>
      <c r="N227" s="26"/>
      <c r="O227" s="26"/>
      <c r="P227" s="26"/>
      <c r="Q227" s="26"/>
      <c r="R227" s="18">
        <f t="shared" si="3"/>
        <v>3207</v>
      </c>
    </row>
    <row r="228" spans="1:18" s="2" customFormat="1" ht="15">
      <c r="A228" s="4" t="s">
        <v>385</v>
      </c>
      <c r="B228" s="3" t="s">
        <v>454</v>
      </c>
      <c r="C228" s="4" t="s">
        <v>455</v>
      </c>
      <c r="D228" s="4">
        <v>19.739999999999998</v>
      </c>
      <c r="E228" s="29">
        <v>2014</v>
      </c>
      <c r="F228" s="26">
        <v>3299</v>
      </c>
      <c r="G228" s="26">
        <v>3289</v>
      </c>
      <c r="H228" s="26">
        <v>2880</v>
      </c>
      <c r="I228" s="26">
        <v>2425</v>
      </c>
      <c r="J228" s="26">
        <v>1825</v>
      </c>
      <c r="K228" s="26"/>
      <c r="L228" s="26"/>
      <c r="M228" s="26"/>
      <c r="N228" s="26"/>
      <c r="O228" s="26"/>
      <c r="P228" s="26"/>
      <c r="Q228" s="26"/>
      <c r="R228" s="18">
        <f t="shared" si="3"/>
        <v>13718</v>
      </c>
    </row>
    <row r="229" spans="1:18" s="2" customFormat="1" ht="15">
      <c r="A229" s="4" t="s">
        <v>385</v>
      </c>
      <c r="B229" s="3" t="s">
        <v>456</v>
      </c>
      <c r="C229" s="4" t="s">
        <v>457</v>
      </c>
      <c r="D229" s="4">
        <v>18.73</v>
      </c>
      <c r="E229" s="29">
        <v>2014</v>
      </c>
      <c r="F229" s="26">
        <v>3315</v>
      </c>
      <c r="G229" s="26">
        <v>2921</v>
      </c>
      <c r="H229" s="26">
        <v>2401</v>
      </c>
      <c r="I229" s="26">
        <v>2104</v>
      </c>
      <c r="J229" s="26">
        <v>1643</v>
      </c>
      <c r="K229" s="26"/>
      <c r="L229" s="26"/>
      <c r="M229" s="26"/>
      <c r="N229" s="26"/>
      <c r="O229" s="26"/>
      <c r="P229" s="26"/>
      <c r="Q229" s="26"/>
      <c r="R229" s="18">
        <f t="shared" si="3"/>
        <v>12384</v>
      </c>
    </row>
    <row r="230" spans="1:18" s="2" customFormat="1" ht="15">
      <c r="A230" s="4" t="s">
        <v>385</v>
      </c>
      <c r="B230" s="3" t="s">
        <v>458</v>
      </c>
      <c r="C230" s="4" t="s">
        <v>459</v>
      </c>
      <c r="D230" s="4">
        <v>20.100000000000001</v>
      </c>
      <c r="E230" s="29">
        <v>2014</v>
      </c>
      <c r="F230" s="26">
        <v>2538</v>
      </c>
      <c r="G230" s="26">
        <v>2363</v>
      </c>
      <c r="H230" s="26">
        <v>2259</v>
      </c>
      <c r="I230" s="26">
        <v>1953</v>
      </c>
      <c r="J230" s="26">
        <v>1354</v>
      </c>
      <c r="K230" s="26"/>
      <c r="L230" s="26"/>
      <c r="M230" s="26"/>
      <c r="N230" s="26"/>
      <c r="O230" s="26"/>
      <c r="P230" s="26"/>
      <c r="Q230" s="26"/>
      <c r="R230" s="18">
        <f t="shared" si="3"/>
        <v>10467</v>
      </c>
    </row>
    <row r="231" spans="1:18" s="2" customFormat="1" ht="15">
      <c r="A231" s="4" t="s">
        <v>385</v>
      </c>
      <c r="B231" s="3" t="s">
        <v>460</v>
      </c>
      <c r="C231" s="4" t="s">
        <v>461</v>
      </c>
      <c r="D231" s="4">
        <v>19.989999999999998</v>
      </c>
      <c r="E231" s="29">
        <v>2014</v>
      </c>
      <c r="F231" s="26">
        <v>3363</v>
      </c>
      <c r="G231" s="26">
        <v>3279</v>
      </c>
      <c r="H231" s="26">
        <v>2981</v>
      </c>
      <c r="I231" s="26">
        <v>2607</v>
      </c>
      <c r="J231" s="26">
        <v>1737</v>
      </c>
      <c r="K231" s="26"/>
      <c r="L231" s="26"/>
      <c r="M231" s="26"/>
      <c r="N231" s="26"/>
      <c r="O231" s="26"/>
      <c r="P231" s="26"/>
      <c r="Q231" s="26"/>
      <c r="R231" s="18">
        <f t="shared" si="3"/>
        <v>13967</v>
      </c>
    </row>
    <row r="232" spans="1:18" s="2" customFormat="1" ht="15">
      <c r="A232" s="4" t="s">
        <v>385</v>
      </c>
      <c r="B232" s="3" t="s">
        <v>462</v>
      </c>
      <c r="C232" s="4" t="s">
        <v>463</v>
      </c>
      <c r="D232" s="4">
        <v>19.010000000000002</v>
      </c>
      <c r="E232" s="29">
        <v>2014</v>
      </c>
      <c r="F232" s="26">
        <v>3375</v>
      </c>
      <c r="G232" s="26">
        <v>3340</v>
      </c>
      <c r="H232" s="26">
        <v>2878</v>
      </c>
      <c r="I232" s="26">
        <v>2505</v>
      </c>
      <c r="J232" s="26">
        <v>1573</v>
      </c>
      <c r="K232" s="26"/>
      <c r="L232" s="26"/>
      <c r="M232" s="26"/>
      <c r="N232" s="26"/>
      <c r="O232" s="26"/>
      <c r="P232" s="26"/>
      <c r="Q232" s="26"/>
      <c r="R232" s="18">
        <f t="shared" si="3"/>
        <v>13671</v>
      </c>
    </row>
    <row r="233" spans="1:18" s="2" customFormat="1" ht="15">
      <c r="A233" s="4" t="s">
        <v>385</v>
      </c>
      <c r="B233" s="3" t="s">
        <v>464</v>
      </c>
      <c r="C233" s="4" t="s">
        <v>465</v>
      </c>
      <c r="D233" s="4">
        <v>7.27</v>
      </c>
      <c r="E233" s="29">
        <v>2014</v>
      </c>
      <c r="F233" s="26">
        <v>1292</v>
      </c>
      <c r="G233" s="26">
        <v>1419</v>
      </c>
      <c r="H233" s="26">
        <v>1098</v>
      </c>
      <c r="I233" s="26">
        <v>840</v>
      </c>
      <c r="J233" s="26">
        <v>1176</v>
      </c>
      <c r="K233" s="26"/>
      <c r="L233" s="26"/>
      <c r="M233" s="26"/>
      <c r="N233" s="26"/>
      <c r="O233" s="26"/>
      <c r="P233" s="26"/>
      <c r="Q233" s="26"/>
      <c r="R233" s="18">
        <f t="shared" si="3"/>
        <v>5825</v>
      </c>
    </row>
    <row r="234" spans="1:18" s="2" customFormat="1" ht="15">
      <c r="A234" s="4" t="s">
        <v>385</v>
      </c>
      <c r="B234" s="3" t="s">
        <v>466</v>
      </c>
      <c r="C234" s="4" t="s">
        <v>467</v>
      </c>
      <c r="D234" s="4">
        <v>16.05</v>
      </c>
      <c r="E234" s="29">
        <v>2015</v>
      </c>
      <c r="F234" s="26">
        <v>2698</v>
      </c>
      <c r="G234" s="26">
        <v>2639</v>
      </c>
      <c r="H234" s="26">
        <v>2430</v>
      </c>
      <c r="I234" s="26">
        <v>2626</v>
      </c>
      <c r="J234" s="26">
        <v>1596</v>
      </c>
      <c r="K234" s="26"/>
      <c r="L234" s="26"/>
      <c r="M234" s="26"/>
      <c r="N234" s="26"/>
      <c r="O234" s="26"/>
      <c r="P234" s="26"/>
      <c r="Q234" s="26"/>
      <c r="R234" s="18">
        <f t="shared" si="3"/>
        <v>11989</v>
      </c>
    </row>
    <row r="235" spans="1:18" s="2" customFormat="1" ht="15">
      <c r="A235" s="4" t="s">
        <v>385</v>
      </c>
      <c r="B235" s="3" t="s">
        <v>468</v>
      </c>
      <c r="C235" s="4" t="s">
        <v>469</v>
      </c>
      <c r="D235" s="4">
        <v>22.13</v>
      </c>
      <c r="E235" s="29">
        <v>2015</v>
      </c>
      <c r="F235" s="26">
        <v>3635</v>
      </c>
      <c r="G235" s="26">
        <v>3443</v>
      </c>
      <c r="H235" s="26">
        <v>3248</v>
      </c>
      <c r="I235" s="26">
        <v>3394</v>
      </c>
      <c r="J235" s="26">
        <v>2346</v>
      </c>
      <c r="K235" s="26"/>
      <c r="L235" s="26"/>
      <c r="M235" s="26"/>
      <c r="N235" s="26"/>
      <c r="O235" s="26"/>
      <c r="P235" s="26"/>
      <c r="Q235" s="26"/>
      <c r="R235" s="18">
        <f t="shared" si="3"/>
        <v>16066</v>
      </c>
    </row>
    <row r="236" spans="1:18" s="2" customFormat="1" ht="15">
      <c r="A236" s="4" t="s">
        <v>385</v>
      </c>
      <c r="B236" s="3" t="s">
        <v>470</v>
      </c>
      <c r="C236" s="4" t="s">
        <v>471</v>
      </c>
      <c r="D236" s="4">
        <v>20.059999999999999</v>
      </c>
      <c r="E236" s="29">
        <v>2015</v>
      </c>
      <c r="F236" s="26">
        <v>4053</v>
      </c>
      <c r="G236" s="26">
        <v>3895</v>
      </c>
      <c r="H236" s="26">
        <v>3410</v>
      </c>
      <c r="I236" s="26">
        <v>3408</v>
      </c>
      <c r="J236" s="26">
        <v>2222</v>
      </c>
      <c r="K236" s="26"/>
      <c r="L236" s="26"/>
      <c r="M236" s="26"/>
      <c r="N236" s="26"/>
      <c r="O236" s="26"/>
      <c r="P236" s="26"/>
      <c r="Q236" s="26"/>
      <c r="R236" s="18">
        <f t="shared" si="3"/>
        <v>16988</v>
      </c>
    </row>
    <row r="237" spans="1:18" s="2" customFormat="1" ht="15">
      <c r="A237" s="4" t="s">
        <v>385</v>
      </c>
      <c r="B237" s="3" t="s">
        <v>472</v>
      </c>
      <c r="C237" s="4" t="s">
        <v>473</v>
      </c>
      <c r="D237" s="4">
        <v>18.36</v>
      </c>
      <c r="E237" s="29">
        <v>2015</v>
      </c>
      <c r="F237" s="26">
        <v>3841</v>
      </c>
      <c r="G237" s="26">
        <v>3795</v>
      </c>
      <c r="H237" s="26">
        <v>3659</v>
      </c>
      <c r="I237" s="26">
        <v>3318</v>
      </c>
      <c r="J237" s="26">
        <v>2102</v>
      </c>
      <c r="K237" s="26"/>
      <c r="L237" s="26"/>
      <c r="M237" s="26"/>
      <c r="N237" s="26"/>
      <c r="O237" s="26"/>
      <c r="P237" s="26"/>
      <c r="Q237" s="26"/>
      <c r="R237" s="18">
        <f t="shared" si="3"/>
        <v>16715</v>
      </c>
    </row>
    <row r="238" spans="1:18" s="2" customFormat="1" ht="15">
      <c r="A238" s="4" t="s">
        <v>385</v>
      </c>
      <c r="B238" s="3" t="s">
        <v>474</v>
      </c>
      <c r="C238" s="4" t="s">
        <v>475</v>
      </c>
      <c r="D238" s="4">
        <v>19.45</v>
      </c>
      <c r="E238" s="29">
        <v>2015</v>
      </c>
      <c r="F238" s="26">
        <v>3253</v>
      </c>
      <c r="G238" s="26">
        <v>3563</v>
      </c>
      <c r="H238" s="26">
        <v>3265</v>
      </c>
      <c r="I238" s="26">
        <v>2978</v>
      </c>
      <c r="J238" s="26">
        <v>1929</v>
      </c>
      <c r="K238" s="26"/>
      <c r="L238" s="26"/>
      <c r="M238" s="26"/>
      <c r="N238" s="26"/>
      <c r="O238" s="26"/>
      <c r="P238" s="26"/>
      <c r="Q238" s="26"/>
      <c r="R238" s="18">
        <f t="shared" si="3"/>
        <v>14988</v>
      </c>
    </row>
    <row r="239" spans="1:18" s="2" customFormat="1" ht="15">
      <c r="A239" s="4" t="s">
        <v>385</v>
      </c>
      <c r="B239" s="3" t="s">
        <v>476</v>
      </c>
      <c r="C239" s="4" t="s">
        <v>477</v>
      </c>
      <c r="D239" s="4">
        <v>19.18</v>
      </c>
      <c r="E239" s="29">
        <v>2015</v>
      </c>
      <c r="F239" s="26">
        <v>3867</v>
      </c>
      <c r="G239" s="26">
        <v>3673</v>
      </c>
      <c r="H239" s="26">
        <v>3602</v>
      </c>
      <c r="I239" s="26">
        <v>3271</v>
      </c>
      <c r="J239" s="26">
        <v>2455</v>
      </c>
      <c r="K239" s="26"/>
      <c r="L239" s="26"/>
      <c r="M239" s="26"/>
      <c r="N239" s="26"/>
      <c r="O239" s="26"/>
      <c r="P239" s="26"/>
      <c r="Q239" s="26"/>
      <c r="R239" s="18">
        <f t="shared" si="3"/>
        <v>16868</v>
      </c>
    </row>
    <row r="240" spans="1:18" s="2" customFormat="1" ht="15">
      <c r="A240" s="4" t="s">
        <v>385</v>
      </c>
      <c r="B240" s="3" t="s">
        <v>478</v>
      </c>
      <c r="C240" s="4" t="s">
        <v>479</v>
      </c>
      <c r="D240" s="4">
        <v>5.1100000000000003</v>
      </c>
      <c r="E240" s="29">
        <v>2015</v>
      </c>
      <c r="F240" s="26">
        <v>1253</v>
      </c>
      <c r="G240" s="26">
        <v>1116</v>
      </c>
      <c r="H240" s="26">
        <v>945</v>
      </c>
      <c r="I240" s="26">
        <v>959</v>
      </c>
      <c r="J240" s="26">
        <v>654</v>
      </c>
      <c r="K240" s="26"/>
      <c r="L240" s="26"/>
      <c r="M240" s="26"/>
      <c r="N240" s="26"/>
      <c r="O240" s="26"/>
      <c r="P240" s="26"/>
      <c r="Q240" s="26"/>
      <c r="R240" s="18">
        <f t="shared" si="3"/>
        <v>4927</v>
      </c>
    </row>
    <row r="241" spans="1:18" s="2" customFormat="1" ht="15">
      <c r="A241" s="4" t="s">
        <v>385</v>
      </c>
      <c r="B241" s="3" t="s">
        <v>480</v>
      </c>
      <c r="C241" s="4" t="s">
        <v>481</v>
      </c>
      <c r="D241" s="4">
        <v>4.21</v>
      </c>
      <c r="E241" s="29">
        <v>2015</v>
      </c>
      <c r="F241" s="26">
        <v>724</v>
      </c>
      <c r="G241" s="26">
        <v>680</v>
      </c>
      <c r="H241" s="26">
        <v>587</v>
      </c>
      <c r="I241" s="26">
        <v>603</v>
      </c>
      <c r="J241" s="26">
        <v>499</v>
      </c>
      <c r="K241" s="26"/>
      <c r="L241" s="26"/>
      <c r="M241" s="26"/>
      <c r="N241" s="26"/>
      <c r="O241" s="26"/>
      <c r="P241" s="26"/>
      <c r="Q241" s="26"/>
      <c r="R241" s="18">
        <f t="shared" si="3"/>
        <v>3093</v>
      </c>
    </row>
    <row r="242" spans="1:18" s="2" customFormat="1" ht="15">
      <c r="A242" s="4" t="s">
        <v>385</v>
      </c>
      <c r="B242" s="3" t="s">
        <v>482</v>
      </c>
      <c r="C242" s="4" t="s">
        <v>483</v>
      </c>
      <c r="D242" s="4">
        <v>8.1199999999999992</v>
      </c>
      <c r="E242" s="29">
        <v>2015</v>
      </c>
      <c r="F242" s="26">
        <v>1512</v>
      </c>
      <c r="G242" s="26">
        <v>1603</v>
      </c>
      <c r="H242" s="26">
        <v>1294</v>
      </c>
      <c r="I242" s="26">
        <v>1175</v>
      </c>
      <c r="J242" s="26">
        <v>857</v>
      </c>
      <c r="K242" s="26"/>
      <c r="L242" s="26"/>
      <c r="M242" s="26"/>
      <c r="N242" s="26"/>
      <c r="O242" s="26"/>
      <c r="P242" s="26"/>
      <c r="Q242" s="26"/>
      <c r="R242" s="18">
        <f t="shared" si="3"/>
        <v>6441</v>
      </c>
    </row>
    <row r="243" spans="1:18" s="2" customFormat="1" ht="15">
      <c r="A243" s="4" t="s">
        <v>385</v>
      </c>
      <c r="B243" s="3" t="s">
        <v>484</v>
      </c>
      <c r="C243" s="4" t="s">
        <v>485</v>
      </c>
      <c r="D243" s="4">
        <v>22.68</v>
      </c>
      <c r="E243" s="29">
        <v>2015</v>
      </c>
      <c r="F243" s="26">
        <v>3752</v>
      </c>
      <c r="G243" s="26">
        <v>4107</v>
      </c>
      <c r="H243" s="26">
        <v>3201</v>
      </c>
      <c r="I243" s="26">
        <v>3489</v>
      </c>
      <c r="J243" s="26">
        <v>2563</v>
      </c>
      <c r="K243" s="26"/>
      <c r="L243" s="26"/>
      <c r="M243" s="26"/>
      <c r="N243" s="26"/>
      <c r="O243" s="26"/>
      <c r="P243" s="26"/>
      <c r="Q243" s="26"/>
      <c r="R243" s="18">
        <f t="shared" si="3"/>
        <v>17112</v>
      </c>
    </row>
    <row r="244" spans="1:18" s="2" customFormat="1" ht="15">
      <c r="A244" s="4" t="s">
        <v>385</v>
      </c>
      <c r="B244" s="3" t="s">
        <v>486</v>
      </c>
      <c r="C244" s="4" t="s">
        <v>487</v>
      </c>
      <c r="D244" s="4">
        <v>2.17</v>
      </c>
      <c r="E244" s="29">
        <v>2014</v>
      </c>
      <c r="F244" s="26">
        <v>325</v>
      </c>
      <c r="G244" s="26">
        <v>447</v>
      </c>
      <c r="H244" s="26">
        <v>285</v>
      </c>
      <c r="I244" s="26">
        <v>222</v>
      </c>
      <c r="J244" s="26">
        <v>226</v>
      </c>
      <c r="K244" s="26"/>
      <c r="L244" s="26"/>
      <c r="M244" s="26"/>
      <c r="N244" s="26"/>
      <c r="O244" s="26"/>
      <c r="P244" s="26"/>
      <c r="Q244" s="26"/>
      <c r="R244" s="18">
        <f t="shared" si="3"/>
        <v>1505</v>
      </c>
    </row>
    <row r="245" spans="1:18" s="2" customFormat="1" ht="15">
      <c r="A245" s="4" t="s">
        <v>385</v>
      </c>
      <c r="B245" s="3" t="s">
        <v>488</v>
      </c>
      <c r="C245" s="4" t="s">
        <v>479</v>
      </c>
      <c r="D245" s="4">
        <v>3.38</v>
      </c>
      <c r="E245" s="29">
        <v>2021</v>
      </c>
      <c r="F245" s="26">
        <v>1099</v>
      </c>
      <c r="G245" s="26">
        <v>2016</v>
      </c>
      <c r="H245" s="26">
        <v>2017</v>
      </c>
      <c r="I245" s="26">
        <v>1759</v>
      </c>
      <c r="J245" s="26">
        <v>1119</v>
      </c>
      <c r="K245" s="26"/>
      <c r="L245" s="26"/>
      <c r="M245" s="26"/>
      <c r="N245" s="26"/>
      <c r="O245" s="26"/>
      <c r="P245" s="26"/>
      <c r="Q245" s="26"/>
      <c r="R245" s="18">
        <f t="shared" si="3"/>
        <v>8010</v>
      </c>
    </row>
    <row r="246" spans="1:18" s="2" customFormat="1" ht="15">
      <c r="A246" s="4" t="s">
        <v>385</v>
      </c>
      <c r="B246" s="3" t="s">
        <v>489</v>
      </c>
      <c r="C246" s="4" t="s">
        <v>479</v>
      </c>
      <c r="D246" s="4">
        <v>13.47</v>
      </c>
      <c r="E246" s="29">
        <v>2022</v>
      </c>
      <c r="F246" s="26">
        <v>2031</v>
      </c>
      <c r="G246" s="26">
        <v>1608</v>
      </c>
      <c r="H246" s="26">
        <v>1032</v>
      </c>
      <c r="I246" s="26">
        <v>1142</v>
      </c>
      <c r="J246" s="26">
        <v>809</v>
      </c>
      <c r="K246" s="26"/>
      <c r="L246" s="26"/>
      <c r="M246" s="26"/>
      <c r="N246" s="26"/>
      <c r="O246" s="26"/>
      <c r="P246" s="26"/>
      <c r="Q246" s="26"/>
      <c r="R246" s="18">
        <f t="shared" si="3"/>
        <v>6622</v>
      </c>
    </row>
    <row r="247" spans="1:18" s="2" customFormat="1" ht="15">
      <c r="A247" s="4" t="s">
        <v>385</v>
      </c>
      <c r="B247" s="3" t="s">
        <v>490</v>
      </c>
      <c r="C247" s="4" t="s">
        <v>483</v>
      </c>
      <c r="D247" s="4">
        <v>11.31</v>
      </c>
      <c r="E247" s="29">
        <v>2023</v>
      </c>
      <c r="F247" s="26">
        <v>0</v>
      </c>
      <c r="G247" s="26">
        <v>0</v>
      </c>
      <c r="H247" s="26">
        <v>1084</v>
      </c>
      <c r="I247" s="26">
        <v>332</v>
      </c>
      <c r="J247" s="26">
        <v>378</v>
      </c>
      <c r="K247" s="26"/>
      <c r="L247" s="26"/>
      <c r="M247" s="26"/>
      <c r="N247" s="26"/>
      <c r="O247" s="26"/>
      <c r="P247" s="26"/>
      <c r="Q247" s="26"/>
      <c r="R247" s="18">
        <f t="shared" si="3"/>
        <v>1794</v>
      </c>
    </row>
    <row r="248" spans="1:18" s="2" customFormat="1" ht="15">
      <c r="A248" s="4" t="s">
        <v>385</v>
      </c>
      <c r="B248" s="3" t="s">
        <v>491</v>
      </c>
      <c r="C248" s="4" t="s">
        <v>481</v>
      </c>
      <c r="D248" s="4">
        <v>14.98</v>
      </c>
      <c r="E248" s="29">
        <v>2023</v>
      </c>
      <c r="F248" s="26">
        <v>0</v>
      </c>
      <c r="G248" s="26">
        <v>0</v>
      </c>
      <c r="H248" s="26">
        <v>24</v>
      </c>
      <c r="I248" s="26">
        <v>47</v>
      </c>
      <c r="J248" s="26">
        <v>492</v>
      </c>
      <c r="K248" s="26"/>
      <c r="L248" s="26"/>
      <c r="M248" s="26"/>
      <c r="N248" s="26"/>
      <c r="O248" s="26"/>
      <c r="P248" s="26"/>
      <c r="Q248" s="26"/>
      <c r="R248" s="18">
        <f t="shared" si="3"/>
        <v>563</v>
      </c>
    </row>
    <row r="249" spans="1:18" s="2" customFormat="1" ht="15">
      <c r="A249" s="4" t="s">
        <v>492</v>
      </c>
      <c r="B249" s="3" t="s">
        <v>493</v>
      </c>
      <c r="C249" s="4" t="s">
        <v>494</v>
      </c>
      <c r="D249" s="4">
        <v>1.45</v>
      </c>
      <c r="E249" s="29">
        <v>2022</v>
      </c>
      <c r="F249" s="26">
        <v>368</v>
      </c>
      <c r="G249" s="26">
        <v>522</v>
      </c>
      <c r="H249" s="26">
        <v>577</v>
      </c>
      <c r="I249" s="26">
        <v>291</v>
      </c>
      <c r="J249" s="26">
        <v>339</v>
      </c>
      <c r="K249" s="26"/>
      <c r="L249" s="26"/>
      <c r="M249" s="26"/>
      <c r="N249" s="26"/>
      <c r="O249" s="26"/>
      <c r="P249" s="26"/>
      <c r="Q249" s="26"/>
      <c r="R249" s="18">
        <f t="shared" si="3"/>
        <v>2097</v>
      </c>
    </row>
    <row r="250" spans="1:18" s="2" customFormat="1" ht="15">
      <c r="A250" s="4" t="s">
        <v>492</v>
      </c>
      <c r="B250" s="3" t="s">
        <v>495</v>
      </c>
      <c r="C250" s="4" t="s">
        <v>496</v>
      </c>
      <c r="D250" s="4">
        <v>18.670000000000002</v>
      </c>
      <c r="E250" s="29">
        <v>2022</v>
      </c>
      <c r="F250" s="26">
        <v>8153</v>
      </c>
      <c r="G250" s="26">
        <v>4708</v>
      </c>
      <c r="H250" s="26">
        <v>4599</v>
      </c>
      <c r="I250" s="26">
        <v>5034</v>
      </c>
      <c r="J250" s="26">
        <v>3587</v>
      </c>
      <c r="K250" s="26"/>
      <c r="L250" s="26"/>
      <c r="M250" s="26"/>
      <c r="N250" s="26"/>
      <c r="O250" s="26"/>
      <c r="P250" s="26"/>
      <c r="Q250" s="26"/>
      <c r="R250" s="18">
        <f t="shared" si="3"/>
        <v>26081</v>
      </c>
    </row>
    <row r="251" spans="1:18" s="2" customFormat="1" ht="15">
      <c r="A251" s="4" t="s">
        <v>492</v>
      </c>
      <c r="B251" s="3" t="s">
        <v>497</v>
      </c>
      <c r="C251" s="4" t="s">
        <v>498</v>
      </c>
      <c r="D251" s="4">
        <v>19.27</v>
      </c>
      <c r="E251" s="29">
        <v>2023</v>
      </c>
      <c r="F251" s="26">
        <v>0</v>
      </c>
      <c r="G251" s="26">
        <v>0</v>
      </c>
      <c r="H251" s="26">
        <v>0</v>
      </c>
      <c r="I251" s="26">
        <v>494</v>
      </c>
      <c r="J251" s="26">
        <v>1188</v>
      </c>
      <c r="K251" s="26"/>
      <c r="L251" s="26"/>
      <c r="M251" s="26"/>
      <c r="N251" s="26"/>
      <c r="O251" s="26"/>
      <c r="P251" s="26"/>
      <c r="Q251" s="26"/>
      <c r="R251" s="18">
        <f t="shared" si="3"/>
        <v>1682</v>
      </c>
    </row>
    <row r="252" spans="1:18" s="2" customFormat="1" ht="15">
      <c r="A252" s="4" t="s">
        <v>492</v>
      </c>
      <c r="B252" s="3" t="s">
        <v>499</v>
      </c>
      <c r="C252" s="4" t="s">
        <v>500</v>
      </c>
      <c r="D252" s="4">
        <v>19.02</v>
      </c>
      <c r="E252" s="29">
        <v>2023</v>
      </c>
      <c r="F252" s="26">
        <v>0</v>
      </c>
      <c r="G252" s="26">
        <v>0</v>
      </c>
      <c r="H252" s="26">
        <v>0</v>
      </c>
      <c r="I252" s="26">
        <v>30</v>
      </c>
      <c r="J252" s="26">
        <v>564</v>
      </c>
      <c r="K252" s="26"/>
      <c r="L252" s="26"/>
      <c r="M252" s="26"/>
      <c r="N252" s="26"/>
      <c r="O252" s="26"/>
      <c r="P252" s="26"/>
      <c r="Q252" s="26"/>
      <c r="R252" s="18">
        <f t="shared" si="3"/>
        <v>594</v>
      </c>
    </row>
    <row r="253" spans="1:18" s="2" customFormat="1" ht="15">
      <c r="A253" s="4" t="s">
        <v>492</v>
      </c>
      <c r="B253" s="3" t="s">
        <v>501</v>
      </c>
      <c r="C253" s="4" t="s">
        <v>502</v>
      </c>
      <c r="D253" s="4">
        <v>18.45</v>
      </c>
      <c r="E253" s="29">
        <v>2023</v>
      </c>
      <c r="F253" s="26">
        <v>0</v>
      </c>
      <c r="G253" s="26">
        <v>0</v>
      </c>
      <c r="H253" s="26">
        <v>0</v>
      </c>
      <c r="I253" s="26">
        <v>13</v>
      </c>
      <c r="J253" s="26">
        <v>225</v>
      </c>
      <c r="K253" s="26"/>
      <c r="L253" s="26"/>
      <c r="M253" s="26"/>
      <c r="N253" s="26"/>
      <c r="O253" s="26"/>
      <c r="P253" s="26"/>
      <c r="Q253" s="26"/>
      <c r="R253" s="18">
        <f t="shared" si="3"/>
        <v>238</v>
      </c>
    </row>
    <row r="254" spans="1:18" s="2" customFormat="1" ht="15">
      <c r="A254" s="4" t="s">
        <v>492</v>
      </c>
      <c r="B254" s="3" t="s">
        <v>503</v>
      </c>
      <c r="C254" s="4" t="s">
        <v>504</v>
      </c>
      <c r="D254" s="4">
        <v>18.8</v>
      </c>
      <c r="E254" s="29">
        <v>2023</v>
      </c>
      <c r="F254" s="26">
        <v>0</v>
      </c>
      <c r="G254" s="26">
        <v>0</v>
      </c>
      <c r="H254" s="26">
        <v>0</v>
      </c>
      <c r="I254" s="26">
        <v>0</v>
      </c>
      <c r="J254" s="26">
        <v>35</v>
      </c>
      <c r="K254" s="26"/>
      <c r="L254" s="26"/>
      <c r="M254" s="26"/>
      <c r="N254" s="26"/>
      <c r="O254" s="26"/>
      <c r="P254" s="26"/>
      <c r="Q254" s="26"/>
      <c r="R254" s="18">
        <f t="shared" si="3"/>
        <v>35</v>
      </c>
    </row>
    <row r="255" spans="1:18" s="2" customFormat="1" ht="15">
      <c r="A255" s="4" t="s">
        <v>492</v>
      </c>
      <c r="B255" s="3" t="s">
        <v>505</v>
      </c>
      <c r="C255" s="4" t="s">
        <v>506</v>
      </c>
      <c r="D255" s="4">
        <v>19.600000000000001</v>
      </c>
      <c r="E255" s="29">
        <v>2023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/>
      <c r="L255" s="26"/>
      <c r="M255" s="26"/>
      <c r="N255" s="26"/>
      <c r="O255" s="26"/>
      <c r="P255" s="26"/>
      <c r="Q255" s="26"/>
      <c r="R255" s="18">
        <f t="shared" si="3"/>
        <v>0</v>
      </c>
    </row>
    <row r="256" spans="1:18" s="2" customFormat="1" ht="15">
      <c r="A256" s="4" t="s">
        <v>492</v>
      </c>
      <c r="B256" s="3" t="s">
        <v>507</v>
      </c>
      <c r="C256" s="4" t="s">
        <v>508</v>
      </c>
      <c r="D256" s="4">
        <v>19.34</v>
      </c>
      <c r="E256" s="29">
        <v>2023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/>
      <c r="L256" s="26"/>
      <c r="M256" s="26"/>
      <c r="N256" s="26"/>
      <c r="O256" s="26"/>
      <c r="P256" s="26"/>
      <c r="Q256" s="26"/>
      <c r="R256" s="18">
        <f t="shared" si="3"/>
        <v>0</v>
      </c>
    </row>
    <row r="257" spans="1:18" s="2" customFormat="1" ht="15">
      <c r="A257" s="4" t="s">
        <v>492</v>
      </c>
      <c r="B257" s="3" t="s">
        <v>509</v>
      </c>
      <c r="C257" s="4" t="s">
        <v>510</v>
      </c>
      <c r="D257" s="4">
        <v>17.34</v>
      </c>
      <c r="E257" s="29">
        <v>2023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/>
      <c r="L257" s="26"/>
      <c r="M257" s="26"/>
      <c r="N257" s="26"/>
      <c r="O257" s="26"/>
      <c r="P257" s="26"/>
      <c r="Q257" s="26"/>
      <c r="R257" s="18">
        <f t="shared" si="3"/>
        <v>0</v>
      </c>
    </row>
    <row r="258" spans="1:18" s="2" customFormat="1" ht="15">
      <c r="A258" s="4" t="s">
        <v>492</v>
      </c>
      <c r="B258" s="3" t="s">
        <v>511</v>
      </c>
      <c r="C258" s="4" t="s">
        <v>512</v>
      </c>
      <c r="D258" s="4">
        <v>13.29</v>
      </c>
      <c r="E258" s="29">
        <v>2023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/>
      <c r="L258" s="26"/>
      <c r="M258" s="26"/>
      <c r="N258" s="26"/>
      <c r="O258" s="26"/>
      <c r="P258" s="26"/>
      <c r="Q258" s="26"/>
      <c r="R258" s="18">
        <f t="shared" si="3"/>
        <v>0</v>
      </c>
    </row>
    <row r="259" spans="1:18" s="2" customFormat="1" ht="15">
      <c r="A259" s="4" t="s">
        <v>492</v>
      </c>
      <c r="B259" s="3" t="s">
        <v>513</v>
      </c>
      <c r="C259" s="4" t="s">
        <v>514</v>
      </c>
      <c r="D259" s="4">
        <v>10.130000000000001</v>
      </c>
      <c r="E259" s="29">
        <v>2023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/>
      <c r="L259" s="26"/>
      <c r="M259" s="26"/>
      <c r="N259" s="26"/>
      <c r="O259" s="26"/>
      <c r="P259" s="26"/>
      <c r="Q259" s="26"/>
      <c r="R259" s="18">
        <f t="shared" ref="R259:R284" si="4">SUM(F259:Q259)</f>
        <v>0</v>
      </c>
    </row>
    <row r="260" spans="1:18" s="2" customFormat="1" ht="15">
      <c r="A260" s="4" t="s">
        <v>492</v>
      </c>
      <c r="B260" s="3" t="s">
        <v>515</v>
      </c>
      <c r="C260" s="4" t="s">
        <v>516</v>
      </c>
      <c r="D260" s="4">
        <v>7.46</v>
      </c>
      <c r="E260" s="29">
        <v>2023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/>
      <c r="L260" s="26"/>
      <c r="M260" s="26"/>
      <c r="N260" s="26"/>
      <c r="O260" s="26"/>
      <c r="P260" s="26"/>
      <c r="Q260" s="26"/>
      <c r="R260" s="18">
        <f t="shared" si="4"/>
        <v>0</v>
      </c>
    </row>
    <row r="261" spans="1:18" s="2" customFormat="1" ht="15">
      <c r="A261" s="4" t="s">
        <v>492</v>
      </c>
      <c r="B261" s="3" t="s">
        <v>517</v>
      </c>
      <c r="C261" s="4" t="s">
        <v>518</v>
      </c>
      <c r="D261" s="4">
        <v>1.33</v>
      </c>
      <c r="E261" s="29">
        <v>2024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/>
      <c r="L261" s="26"/>
      <c r="M261" s="26"/>
      <c r="N261" s="26"/>
      <c r="O261" s="26"/>
      <c r="P261" s="26"/>
      <c r="Q261" s="26"/>
      <c r="R261" s="18">
        <f t="shared" si="4"/>
        <v>0</v>
      </c>
    </row>
    <row r="262" spans="1:18" s="2" customFormat="1" ht="15">
      <c r="A262" s="4" t="s">
        <v>492</v>
      </c>
      <c r="B262" s="3" t="s">
        <v>519</v>
      </c>
      <c r="C262" s="4" t="s">
        <v>520</v>
      </c>
      <c r="D262" s="4">
        <v>9.07</v>
      </c>
      <c r="E262" s="29">
        <v>2023</v>
      </c>
      <c r="F262" s="26">
        <v>0</v>
      </c>
      <c r="G262" s="26">
        <v>0</v>
      </c>
      <c r="H262" s="26">
        <v>0</v>
      </c>
      <c r="I262" s="26">
        <v>25</v>
      </c>
      <c r="J262" s="26">
        <v>358</v>
      </c>
      <c r="K262" s="26"/>
      <c r="L262" s="26"/>
      <c r="M262" s="26"/>
      <c r="N262" s="26"/>
      <c r="O262" s="26"/>
      <c r="P262" s="26"/>
      <c r="Q262" s="26"/>
      <c r="R262" s="18">
        <f t="shared" si="4"/>
        <v>383</v>
      </c>
    </row>
    <row r="263" spans="1:18" s="2" customFormat="1" ht="15">
      <c r="A263" s="4" t="s">
        <v>492</v>
      </c>
      <c r="B263" s="3" t="s">
        <v>521</v>
      </c>
      <c r="C263" s="4" t="s">
        <v>522</v>
      </c>
      <c r="D263" s="4">
        <v>0.5</v>
      </c>
      <c r="E263" s="29">
        <v>2022</v>
      </c>
      <c r="F263" s="26">
        <v>140</v>
      </c>
      <c r="G263" s="26">
        <v>99</v>
      </c>
      <c r="H263" s="26">
        <v>120</v>
      </c>
      <c r="I263" s="26">
        <v>156</v>
      </c>
      <c r="J263" s="26">
        <v>58</v>
      </c>
      <c r="K263" s="26"/>
      <c r="L263" s="26"/>
      <c r="M263" s="26"/>
      <c r="N263" s="26"/>
      <c r="O263" s="26"/>
      <c r="P263" s="26"/>
      <c r="Q263" s="26"/>
      <c r="R263" s="18">
        <f t="shared" si="4"/>
        <v>573</v>
      </c>
    </row>
    <row r="264" spans="1:18" s="2" customFormat="1" ht="15">
      <c r="A264" s="4" t="s">
        <v>492</v>
      </c>
      <c r="B264" s="3" t="s">
        <v>523</v>
      </c>
      <c r="C264" s="4" t="s">
        <v>524</v>
      </c>
      <c r="D264" s="4">
        <v>2.0299999999999998</v>
      </c>
      <c r="E264" s="29">
        <v>2022</v>
      </c>
      <c r="F264" s="26">
        <v>459</v>
      </c>
      <c r="G264" s="26">
        <v>407</v>
      </c>
      <c r="H264" s="26">
        <v>437</v>
      </c>
      <c r="I264" s="26">
        <v>629</v>
      </c>
      <c r="J264" s="26">
        <v>266</v>
      </c>
      <c r="K264" s="26"/>
      <c r="L264" s="26"/>
      <c r="M264" s="26"/>
      <c r="N264" s="26"/>
      <c r="O264" s="26"/>
      <c r="P264" s="26"/>
      <c r="Q264" s="26"/>
      <c r="R264" s="18">
        <f t="shared" si="4"/>
        <v>2198</v>
      </c>
    </row>
    <row r="265" spans="1:18" s="2" customFormat="1" ht="15">
      <c r="A265" s="4" t="s">
        <v>492</v>
      </c>
      <c r="B265" s="3" t="s">
        <v>525</v>
      </c>
      <c r="C265" s="4" t="s">
        <v>526</v>
      </c>
      <c r="D265" s="4">
        <v>5.58</v>
      </c>
      <c r="E265" s="29">
        <v>2022</v>
      </c>
      <c r="F265" s="26">
        <v>2400</v>
      </c>
      <c r="G265" s="26">
        <v>952</v>
      </c>
      <c r="H265" s="26">
        <v>1224</v>
      </c>
      <c r="I265" s="26">
        <v>1443</v>
      </c>
      <c r="J265" s="26">
        <v>743</v>
      </c>
      <c r="K265" s="26"/>
      <c r="L265" s="26"/>
      <c r="M265" s="26"/>
      <c r="N265" s="26"/>
      <c r="O265" s="26"/>
      <c r="P265" s="26"/>
      <c r="Q265" s="26"/>
      <c r="R265" s="18">
        <f t="shared" si="4"/>
        <v>6762</v>
      </c>
    </row>
    <row r="266" spans="1:18" s="2" customFormat="1" ht="15">
      <c r="A266" s="4" t="s">
        <v>492</v>
      </c>
      <c r="B266" s="3" t="s">
        <v>527</v>
      </c>
      <c r="C266" s="4" t="s">
        <v>528</v>
      </c>
      <c r="D266" s="4">
        <v>16.440000000000001</v>
      </c>
      <c r="E266" s="29">
        <v>2023</v>
      </c>
      <c r="F266" s="26">
        <v>5640</v>
      </c>
      <c r="G266" s="26">
        <v>3539</v>
      </c>
      <c r="H266" s="26">
        <v>3805</v>
      </c>
      <c r="I266" s="26">
        <v>4225</v>
      </c>
      <c r="J266" s="26">
        <v>2540</v>
      </c>
      <c r="K266" s="26"/>
      <c r="L266" s="26"/>
      <c r="M266" s="26"/>
      <c r="N266" s="26"/>
      <c r="O266" s="26"/>
      <c r="P266" s="26"/>
      <c r="Q266" s="26"/>
      <c r="R266" s="18">
        <f t="shared" si="4"/>
        <v>19749</v>
      </c>
    </row>
    <row r="267" spans="1:18" s="2" customFormat="1" ht="15">
      <c r="A267" s="4" t="s">
        <v>492</v>
      </c>
      <c r="B267" s="3" t="s">
        <v>529</v>
      </c>
      <c r="C267" s="4" t="s">
        <v>530</v>
      </c>
      <c r="D267" s="4">
        <v>19.12</v>
      </c>
      <c r="E267" s="29">
        <v>2023</v>
      </c>
      <c r="F267" s="26">
        <v>3949</v>
      </c>
      <c r="G267" s="26">
        <v>3851</v>
      </c>
      <c r="H267" s="26">
        <v>2689</v>
      </c>
      <c r="I267" s="26">
        <v>2720</v>
      </c>
      <c r="J267" s="26">
        <v>2111</v>
      </c>
      <c r="K267" s="26"/>
      <c r="L267" s="26"/>
      <c r="M267" s="26"/>
      <c r="N267" s="26"/>
      <c r="O267" s="26"/>
      <c r="P267" s="26"/>
      <c r="Q267" s="26"/>
      <c r="R267" s="18">
        <f t="shared" si="4"/>
        <v>15320</v>
      </c>
    </row>
    <row r="268" spans="1:18" s="2" customFormat="1" ht="15">
      <c r="A268" s="4" t="s">
        <v>492</v>
      </c>
      <c r="B268" s="3" t="s">
        <v>531</v>
      </c>
      <c r="C268" s="4" t="s">
        <v>532</v>
      </c>
      <c r="D268" s="4">
        <v>18.53</v>
      </c>
      <c r="E268" s="29">
        <v>2022</v>
      </c>
      <c r="F268" s="26">
        <v>3800</v>
      </c>
      <c r="G268" s="26">
        <v>7331</v>
      </c>
      <c r="H268" s="26">
        <v>3968</v>
      </c>
      <c r="I268" s="26">
        <v>3803</v>
      </c>
      <c r="J268" s="26">
        <v>3212</v>
      </c>
      <c r="K268" s="26"/>
      <c r="L268" s="26"/>
      <c r="M268" s="26"/>
      <c r="N268" s="26"/>
      <c r="O268" s="26"/>
      <c r="P268" s="26"/>
      <c r="Q268" s="26"/>
      <c r="R268" s="18">
        <f t="shared" si="4"/>
        <v>22114</v>
      </c>
    </row>
    <row r="269" spans="1:18" s="2" customFormat="1" ht="15">
      <c r="A269" s="4" t="s">
        <v>492</v>
      </c>
      <c r="B269" s="3" t="s">
        <v>533</v>
      </c>
      <c r="C269" s="4" t="s">
        <v>534</v>
      </c>
      <c r="D269" s="4">
        <v>18.170000000000002</v>
      </c>
      <c r="E269" s="29">
        <v>2022</v>
      </c>
      <c r="F269" s="26">
        <v>4559</v>
      </c>
      <c r="G269" s="26">
        <v>3886</v>
      </c>
      <c r="H269" s="26">
        <v>4240</v>
      </c>
      <c r="I269" s="26">
        <v>3133</v>
      </c>
      <c r="J269" s="26">
        <v>3330</v>
      </c>
      <c r="K269" s="26"/>
      <c r="L269" s="26"/>
      <c r="M269" s="26"/>
      <c r="N269" s="26"/>
      <c r="O269" s="26"/>
      <c r="P269" s="26"/>
      <c r="Q269" s="26"/>
      <c r="R269" s="18">
        <f t="shared" si="4"/>
        <v>19148</v>
      </c>
    </row>
    <row r="270" spans="1:18" s="2" customFormat="1" ht="15">
      <c r="A270" s="4" t="s">
        <v>492</v>
      </c>
      <c r="B270" s="3" t="s">
        <v>535</v>
      </c>
      <c r="C270" s="4" t="s">
        <v>536</v>
      </c>
      <c r="D270" s="4">
        <v>19.91</v>
      </c>
      <c r="E270" s="29">
        <v>2023</v>
      </c>
      <c r="F270" s="26">
        <v>29</v>
      </c>
      <c r="G270" s="26">
        <v>664</v>
      </c>
      <c r="H270" s="26">
        <v>2271</v>
      </c>
      <c r="I270" s="26">
        <v>1074</v>
      </c>
      <c r="J270" s="26">
        <v>1422</v>
      </c>
      <c r="K270" s="26"/>
      <c r="L270" s="26"/>
      <c r="M270" s="26"/>
      <c r="N270" s="26"/>
      <c r="O270" s="26"/>
      <c r="P270" s="26"/>
      <c r="Q270" s="26"/>
      <c r="R270" s="18">
        <f t="shared" si="4"/>
        <v>5460</v>
      </c>
    </row>
    <row r="271" spans="1:18" s="2" customFormat="1" ht="15">
      <c r="A271" s="4" t="s">
        <v>492</v>
      </c>
      <c r="B271" s="3" t="s">
        <v>537</v>
      </c>
      <c r="C271" s="4" t="s">
        <v>538</v>
      </c>
      <c r="D271" s="4">
        <v>18.739999999999998</v>
      </c>
      <c r="E271" s="29">
        <v>2023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/>
      <c r="L271" s="26"/>
      <c r="M271" s="26"/>
      <c r="N271" s="26"/>
      <c r="O271" s="26"/>
      <c r="P271" s="26"/>
      <c r="Q271" s="26"/>
      <c r="R271" s="18">
        <f t="shared" si="4"/>
        <v>0</v>
      </c>
    </row>
    <row r="272" spans="1:18" s="2" customFormat="1" ht="15">
      <c r="A272" s="4" t="s">
        <v>492</v>
      </c>
      <c r="B272" s="3" t="s">
        <v>539</v>
      </c>
      <c r="C272" s="4" t="s">
        <v>540</v>
      </c>
      <c r="D272" s="4">
        <v>18.75</v>
      </c>
      <c r="E272" s="29">
        <v>2023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/>
      <c r="L272" s="26"/>
      <c r="M272" s="26"/>
      <c r="N272" s="26"/>
      <c r="O272" s="26"/>
      <c r="P272" s="26"/>
      <c r="Q272" s="26"/>
      <c r="R272" s="18">
        <f t="shared" si="4"/>
        <v>0</v>
      </c>
    </row>
    <row r="273" spans="1:18" s="2" customFormat="1" ht="15">
      <c r="A273" s="4" t="s">
        <v>492</v>
      </c>
      <c r="B273" s="3" t="s">
        <v>541</v>
      </c>
      <c r="C273" s="4" t="s">
        <v>542</v>
      </c>
      <c r="D273" s="4">
        <v>18.7</v>
      </c>
      <c r="E273" s="29">
        <v>2023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/>
      <c r="L273" s="26"/>
      <c r="M273" s="26"/>
      <c r="N273" s="26"/>
      <c r="O273" s="26"/>
      <c r="P273" s="26"/>
      <c r="Q273" s="26"/>
      <c r="R273" s="18">
        <f t="shared" si="4"/>
        <v>0</v>
      </c>
    </row>
    <row r="274" spans="1:18" s="2" customFormat="1" ht="15">
      <c r="A274" s="4" t="s">
        <v>492</v>
      </c>
      <c r="B274" s="3" t="s">
        <v>543</v>
      </c>
      <c r="C274" s="4" t="s">
        <v>544</v>
      </c>
      <c r="D274" s="4">
        <v>9.2200000000000006</v>
      </c>
      <c r="E274" s="29">
        <v>2024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/>
      <c r="L274" s="26"/>
      <c r="M274" s="26"/>
      <c r="N274" s="26"/>
      <c r="O274" s="26"/>
      <c r="P274" s="26"/>
      <c r="Q274" s="26"/>
      <c r="R274" s="18">
        <f t="shared" si="4"/>
        <v>0</v>
      </c>
    </row>
    <row r="275" spans="1:18" s="2" customFormat="1" ht="15">
      <c r="A275" s="4" t="s">
        <v>492</v>
      </c>
      <c r="B275" s="3" t="s">
        <v>545</v>
      </c>
      <c r="C275" s="4" t="s">
        <v>546</v>
      </c>
      <c r="D275" s="4">
        <v>4.41</v>
      </c>
      <c r="E275" s="29">
        <v>2024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/>
      <c r="L275" s="26"/>
      <c r="M275" s="26"/>
      <c r="N275" s="26"/>
      <c r="O275" s="26"/>
      <c r="P275" s="26"/>
      <c r="Q275" s="26"/>
      <c r="R275" s="18">
        <f t="shared" si="4"/>
        <v>0</v>
      </c>
    </row>
    <row r="276" spans="1:18" s="2" customFormat="1" ht="15">
      <c r="A276" s="4" t="s">
        <v>492</v>
      </c>
      <c r="B276" s="3" t="s">
        <v>547</v>
      </c>
      <c r="C276" s="4" t="s">
        <v>548</v>
      </c>
      <c r="D276" s="4">
        <v>2.62</v>
      </c>
      <c r="E276" s="29">
        <v>2024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/>
      <c r="L276" s="26"/>
      <c r="M276" s="26"/>
      <c r="N276" s="26"/>
      <c r="O276" s="26"/>
      <c r="P276" s="26"/>
      <c r="Q276" s="26"/>
      <c r="R276" s="18">
        <f t="shared" si="4"/>
        <v>0</v>
      </c>
    </row>
    <row r="277" spans="1:18" s="2" customFormat="1" ht="15">
      <c r="A277" s="4" t="s">
        <v>492</v>
      </c>
      <c r="B277" s="3" t="s">
        <v>549</v>
      </c>
      <c r="C277" s="4" t="s">
        <v>550</v>
      </c>
      <c r="D277" s="4">
        <v>3.51</v>
      </c>
      <c r="E277" s="29">
        <v>2024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26"/>
      <c r="L277" s="26"/>
      <c r="M277" s="26"/>
      <c r="N277" s="26"/>
      <c r="O277" s="26"/>
      <c r="P277" s="26"/>
      <c r="Q277" s="26"/>
      <c r="R277" s="18">
        <f t="shared" si="4"/>
        <v>0</v>
      </c>
    </row>
    <row r="278" spans="1:18" s="2" customFormat="1" ht="15">
      <c r="A278" s="4" t="s">
        <v>492</v>
      </c>
      <c r="B278" s="3" t="s">
        <v>551</v>
      </c>
      <c r="C278" s="4" t="s">
        <v>552</v>
      </c>
      <c r="D278" s="4">
        <v>3.19</v>
      </c>
      <c r="E278" s="29">
        <v>2024</v>
      </c>
      <c r="F278" s="26">
        <v>0</v>
      </c>
      <c r="G278" s="26">
        <v>0</v>
      </c>
      <c r="H278" s="26">
        <v>0</v>
      </c>
      <c r="I278" s="26">
        <v>0</v>
      </c>
      <c r="J278" s="26">
        <v>0</v>
      </c>
      <c r="K278" s="26"/>
      <c r="L278" s="26"/>
      <c r="M278" s="26"/>
      <c r="N278" s="26"/>
      <c r="O278" s="26"/>
      <c r="P278" s="26"/>
      <c r="Q278" s="26"/>
      <c r="R278" s="18">
        <f t="shared" si="4"/>
        <v>0</v>
      </c>
    </row>
    <row r="279" spans="1:18" s="2" customFormat="1" ht="15">
      <c r="A279" s="4" t="s">
        <v>492</v>
      </c>
      <c r="B279" s="3" t="s">
        <v>553</v>
      </c>
      <c r="C279" s="4" t="s">
        <v>554</v>
      </c>
      <c r="D279" s="4">
        <v>4.62</v>
      </c>
      <c r="E279" s="29">
        <v>2024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/>
      <c r="L279" s="26"/>
      <c r="M279" s="26"/>
      <c r="N279" s="26"/>
      <c r="O279" s="26"/>
      <c r="P279" s="26"/>
      <c r="Q279" s="26"/>
      <c r="R279" s="18">
        <f t="shared" si="4"/>
        <v>0</v>
      </c>
    </row>
    <row r="280" spans="1:18" s="2" customFormat="1" ht="15">
      <c r="A280" s="4" t="s">
        <v>492</v>
      </c>
      <c r="B280" s="3" t="s">
        <v>555</v>
      </c>
      <c r="C280" s="4" t="s">
        <v>556</v>
      </c>
      <c r="D280" s="4">
        <v>4.41</v>
      </c>
      <c r="E280" s="29">
        <v>2024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/>
      <c r="L280" s="26"/>
      <c r="M280" s="26"/>
      <c r="N280" s="26"/>
      <c r="O280" s="26"/>
      <c r="P280" s="26"/>
      <c r="Q280" s="26"/>
      <c r="R280" s="18">
        <f t="shared" si="4"/>
        <v>0</v>
      </c>
    </row>
    <row r="281" spans="1:18" s="2" customFormat="1" ht="15">
      <c r="A281" s="4" t="s">
        <v>492</v>
      </c>
      <c r="B281" s="3" t="s">
        <v>557</v>
      </c>
      <c r="C281" s="4" t="s">
        <v>558</v>
      </c>
      <c r="D281" s="4">
        <v>1.91</v>
      </c>
      <c r="E281" s="29">
        <v>2024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/>
      <c r="L281" s="26"/>
      <c r="M281" s="26"/>
      <c r="N281" s="26"/>
      <c r="O281" s="26"/>
      <c r="P281" s="26"/>
      <c r="Q281" s="26"/>
      <c r="R281" s="18">
        <f t="shared" si="4"/>
        <v>0</v>
      </c>
    </row>
    <row r="282" spans="1:18" s="2" customFormat="1" ht="15">
      <c r="A282" s="4" t="s">
        <v>492</v>
      </c>
      <c r="B282" s="3" t="s">
        <v>559</v>
      </c>
      <c r="C282" s="4" t="s">
        <v>560</v>
      </c>
      <c r="D282" s="4">
        <v>3.6</v>
      </c>
      <c r="E282" s="29">
        <v>2024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/>
      <c r="L282" s="26"/>
      <c r="M282" s="26"/>
      <c r="N282" s="26"/>
      <c r="O282" s="26"/>
      <c r="P282" s="26"/>
      <c r="Q282" s="26"/>
      <c r="R282" s="18">
        <f t="shared" si="4"/>
        <v>0</v>
      </c>
    </row>
    <row r="283" spans="1:18" s="2" customFormat="1" ht="15">
      <c r="A283" s="4" t="s">
        <v>492</v>
      </c>
      <c r="B283" s="3" t="s">
        <v>561</v>
      </c>
      <c r="C283" s="4" t="s">
        <v>562</v>
      </c>
      <c r="D283" s="4">
        <v>0.86</v>
      </c>
      <c r="E283" s="29">
        <v>2024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/>
      <c r="L283" s="26"/>
      <c r="M283" s="26"/>
      <c r="N283" s="26"/>
      <c r="O283" s="26"/>
      <c r="P283" s="26"/>
      <c r="Q283" s="26"/>
      <c r="R283" s="18">
        <f t="shared" si="4"/>
        <v>0</v>
      </c>
    </row>
    <row r="284" spans="1:18" s="2" customFormat="1" ht="15">
      <c r="A284" s="4" t="s">
        <v>492</v>
      </c>
      <c r="B284" s="3" t="s">
        <v>563</v>
      </c>
      <c r="C284" s="4" t="s">
        <v>564</v>
      </c>
      <c r="D284" s="4">
        <v>5.05</v>
      </c>
      <c r="E284" s="29">
        <v>2023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/>
      <c r="L284" s="26"/>
      <c r="M284" s="26"/>
      <c r="N284" s="26"/>
      <c r="O284" s="26"/>
      <c r="P284" s="26"/>
      <c r="Q284" s="26"/>
      <c r="R284" s="18">
        <f t="shared" si="4"/>
        <v>0</v>
      </c>
    </row>
    <row r="286" spans="1:18">
      <c r="J286" s="15" t="e">
        <f>+#REF!-#REF!</f>
        <v>#REF!</v>
      </c>
    </row>
    <row r="287" spans="1:18">
      <c r="E287" s="16"/>
      <c r="F287" s="13" t="e">
        <f>+#REF!+#REF!+#REF!+#REF!</f>
        <v>#REF!</v>
      </c>
    </row>
    <row r="288" spans="1:18">
      <c r="E288" s="16"/>
      <c r="F288" s="13" t="e">
        <f>+F287/#REF!/1000</f>
        <v>#REF!</v>
      </c>
    </row>
    <row r="289" spans="5:5">
      <c r="E289" s="16"/>
    </row>
  </sheetData>
  <printOptions horizontalCentered="1"/>
  <pageMargins left="0" right="0" top="3.9370078740157501E-2" bottom="0" header="0.118110236220472" footer="0.118110236220472"/>
  <pageSetup paperSize="1000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8F32-BE68-4BFA-A2C5-22E6C4A40892}">
  <dimension ref="A1:R289"/>
  <sheetViews>
    <sheetView showGridLines="0" zoomScale="85" zoomScaleNormal="85" zoomScaleSheetLayoutView="85" workbookViewId="0">
      <pane xSplit="5" ySplit="2" topLeftCell="F3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RowHeight="13.5"/>
  <cols>
    <col min="1" max="1" width="5.85546875" style="1" customWidth="1"/>
    <col min="2" max="2" width="7.42578125" style="11" customWidth="1"/>
    <col min="3" max="4" width="10" style="1" customWidth="1"/>
    <col min="5" max="5" width="10.28515625" style="1" customWidth="1"/>
    <col min="6" max="7" width="11.5703125" style="13" customWidth="1"/>
    <col min="8" max="8" width="11.5703125" style="1" customWidth="1"/>
    <col min="9" max="10" width="12.28515625" style="1" customWidth="1"/>
    <col min="11" max="17" width="11.5703125" style="1" customWidth="1"/>
    <col min="18" max="18" width="11.5703125" style="1" bestFit="1" customWidth="1"/>
    <col min="19" max="16384" width="9.140625" style="1"/>
  </cols>
  <sheetData>
    <row r="1" spans="1:18" s="2" customFormat="1" ht="45">
      <c r="A1" s="21" t="s">
        <v>0</v>
      </c>
      <c r="B1" s="22" t="s">
        <v>1</v>
      </c>
      <c r="C1" s="21" t="s">
        <v>2</v>
      </c>
      <c r="D1" s="21" t="s">
        <v>3</v>
      </c>
      <c r="E1" s="27" t="s">
        <v>4</v>
      </c>
      <c r="F1" s="24">
        <v>45901</v>
      </c>
      <c r="G1" s="24">
        <v>45931</v>
      </c>
      <c r="H1" s="24">
        <v>45962</v>
      </c>
      <c r="I1" s="24">
        <v>45992</v>
      </c>
      <c r="J1" s="24">
        <v>46023</v>
      </c>
      <c r="K1" s="24">
        <v>46054</v>
      </c>
      <c r="L1" s="24">
        <v>46082</v>
      </c>
      <c r="M1" s="24">
        <v>46113</v>
      </c>
      <c r="N1" s="24">
        <v>46143</v>
      </c>
      <c r="O1" s="24">
        <v>46174</v>
      </c>
      <c r="P1" s="24">
        <v>46204</v>
      </c>
      <c r="Q1" s="24">
        <v>46235</v>
      </c>
      <c r="R1" s="19" t="s">
        <v>5</v>
      </c>
    </row>
    <row r="2" spans="1:18" s="2" customFormat="1" ht="15">
      <c r="A2" s="4" t="s">
        <v>6</v>
      </c>
      <c r="B2" s="3" t="s">
        <v>7</v>
      </c>
      <c r="C2" s="4" t="s">
        <v>8</v>
      </c>
      <c r="D2" s="4">
        <v>6.29</v>
      </c>
      <c r="E2" s="28">
        <v>2008</v>
      </c>
      <c r="F2" s="26">
        <v>14880</v>
      </c>
      <c r="G2" s="26">
        <v>13537</v>
      </c>
      <c r="H2" s="26">
        <v>13718</v>
      </c>
      <c r="I2" s="26">
        <v>9059</v>
      </c>
      <c r="J2" s="26">
        <v>7740</v>
      </c>
      <c r="K2" s="26"/>
      <c r="L2" s="26"/>
      <c r="M2" s="26"/>
      <c r="N2" s="26"/>
      <c r="O2" s="26"/>
      <c r="P2" s="26"/>
      <c r="Q2" s="26"/>
      <c r="R2" s="18">
        <f>SUM(F2:Q2)</f>
        <v>58934</v>
      </c>
    </row>
    <row r="3" spans="1:18" s="2" customFormat="1" ht="15">
      <c r="A3" s="8" t="s">
        <v>6</v>
      </c>
      <c r="B3" s="7" t="s">
        <v>9</v>
      </c>
      <c r="C3" s="8" t="s">
        <v>10</v>
      </c>
      <c r="D3" s="4">
        <v>19.149999999999999</v>
      </c>
      <c r="E3" s="28">
        <v>2009</v>
      </c>
      <c r="F3" s="26">
        <v>55040</v>
      </c>
      <c r="G3" s="26">
        <v>47316</v>
      </c>
      <c r="H3" s="26">
        <v>50297</v>
      </c>
      <c r="I3" s="26">
        <v>49281</v>
      </c>
      <c r="J3" s="26">
        <v>40172</v>
      </c>
      <c r="K3" s="26"/>
      <c r="L3" s="26"/>
      <c r="M3" s="26"/>
      <c r="N3" s="26"/>
      <c r="O3" s="26"/>
      <c r="P3" s="26"/>
      <c r="Q3" s="26"/>
      <c r="R3" s="18">
        <f t="shared" ref="R3:R66" si="0">SUM(F3:Q3)</f>
        <v>242106</v>
      </c>
    </row>
    <row r="4" spans="1:18" s="2" customFormat="1" ht="15">
      <c r="A4" s="8" t="s">
        <v>6</v>
      </c>
      <c r="B4" s="7" t="s">
        <v>11</v>
      </c>
      <c r="C4" s="8" t="s">
        <v>12</v>
      </c>
      <c r="D4" s="4">
        <v>18.46</v>
      </c>
      <c r="E4" s="28">
        <v>2009</v>
      </c>
      <c r="F4" s="26">
        <v>52177</v>
      </c>
      <c r="G4" s="26">
        <v>48921</v>
      </c>
      <c r="H4" s="26">
        <v>54056</v>
      </c>
      <c r="I4" s="26">
        <v>50638</v>
      </c>
      <c r="J4" s="26">
        <v>42496</v>
      </c>
      <c r="K4" s="26"/>
      <c r="L4" s="26"/>
      <c r="M4" s="26"/>
      <c r="N4" s="26"/>
      <c r="O4" s="26"/>
      <c r="P4" s="26"/>
      <c r="Q4" s="26"/>
      <c r="R4" s="18">
        <f t="shared" si="0"/>
        <v>248288</v>
      </c>
    </row>
    <row r="5" spans="1:18" s="2" customFormat="1" ht="15">
      <c r="A5" s="8" t="s">
        <v>6</v>
      </c>
      <c r="B5" s="7" t="s">
        <v>13</v>
      </c>
      <c r="C5" s="8" t="s">
        <v>14</v>
      </c>
      <c r="D5" s="4">
        <v>19.61</v>
      </c>
      <c r="E5" s="28">
        <v>2009</v>
      </c>
      <c r="F5" s="26">
        <v>39829</v>
      </c>
      <c r="G5" s="26">
        <v>42045</v>
      </c>
      <c r="H5" s="26">
        <v>46924</v>
      </c>
      <c r="I5" s="26">
        <v>40125</v>
      </c>
      <c r="J5" s="26">
        <v>40485</v>
      </c>
      <c r="K5" s="26"/>
      <c r="L5" s="26"/>
      <c r="M5" s="26"/>
      <c r="N5" s="26"/>
      <c r="O5" s="26"/>
      <c r="P5" s="26"/>
      <c r="Q5" s="26"/>
      <c r="R5" s="18">
        <f t="shared" si="0"/>
        <v>209408</v>
      </c>
    </row>
    <row r="6" spans="1:18" s="2" customFormat="1" ht="15">
      <c r="A6" s="8" t="s">
        <v>6</v>
      </c>
      <c r="B6" s="7" t="s">
        <v>15</v>
      </c>
      <c r="C6" s="8" t="s">
        <v>16</v>
      </c>
      <c r="D6" s="4">
        <v>19.2</v>
      </c>
      <c r="E6" s="28">
        <v>2009</v>
      </c>
      <c r="F6" s="26">
        <v>57087</v>
      </c>
      <c r="G6" s="26">
        <v>63657</v>
      </c>
      <c r="H6" s="26">
        <v>62270</v>
      </c>
      <c r="I6" s="26">
        <v>53236</v>
      </c>
      <c r="J6" s="26">
        <v>56786</v>
      </c>
      <c r="K6" s="26"/>
      <c r="L6" s="26"/>
      <c r="M6" s="26"/>
      <c r="N6" s="26"/>
      <c r="O6" s="26"/>
      <c r="P6" s="26"/>
      <c r="Q6" s="26"/>
      <c r="R6" s="18">
        <f t="shared" si="0"/>
        <v>293036</v>
      </c>
    </row>
    <row r="7" spans="1:18" s="2" customFormat="1" ht="15">
      <c r="A7" s="8" t="s">
        <v>6</v>
      </c>
      <c r="B7" s="7" t="s">
        <v>17</v>
      </c>
      <c r="C7" s="8" t="s">
        <v>18</v>
      </c>
      <c r="D7" s="4">
        <v>21.32</v>
      </c>
      <c r="E7" s="28">
        <v>2009</v>
      </c>
      <c r="F7" s="26">
        <v>55075</v>
      </c>
      <c r="G7" s="26">
        <v>57916</v>
      </c>
      <c r="H7" s="26">
        <v>62380</v>
      </c>
      <c r="I7" s="26">
        <v>51186</v>
      </c>
      <c r="J7" s="26">
        <v>52464</v>
      </c>
      <c r="K7" s="26"/>
      <c r="L7" s="26"/>
      <c r="M7" s="26"/>
      <c r="N7" s="26"/>
      <c r="O7" s="26"/>
      <c r="P7" s="26"/>
      <c r="Q7" s="26"/>
      <c r="R7" s="18">
        <f t="shared" si="0"/>
        <v>279021</v>
      </c>
    </row>
    <row r="8" spans="1:18" s="2" customFormat="1" ht="15">
      <c r="A8" s="8" t="s">
        <v>6</v>
      </c>
      <c r="B8" s="7" t="s">
        <v>19</v>
      </c>
      <c r="C8" s="8" t="s">
        <v>20</v>
      </c>
      <c r="D8" s="4">
        <v>4.8899999999999997</v>
      </c>
      <c r="E8" s="28">
        <v>2010</v>
      </c>
      <c r="F8" s="26">
        <v>12718</v>
      </c>
      <c r="G8" s="26">
        <v>12267</v>
      </c>
      <c r="H8" s="26">
        <v>12479</v>
      </c>
      <c r="I8" s="26">
        <v>9069</v>
      </c>
      <c r="J8" s="26">
        <v>8639</v>
      </c>
      <c r="K8" s="26"/>
      <c r="L8" s="26"/>
      <c r="M8" s="26"/>
      <c r="N8" s="26"/>
      <c r="O8" s="26"/>
      <c r="P8" s="26"/>
      <c r="Q8" s="26"/>
      <c r="R8" s="18">
        <f t="shared" si="0"/>
        <v>55172</v>
      </c>
    </row>
    <row r="9" spans="1:18" s="2" customFormat="1" ht="15">
      <c r="A9" s="10" t="s">
        <v>6</v>
      </c>
      <c r="B9" s="9" t="s">
        <v>21</v>
      </c>
      <c r="C9" s="10" t="s">
        <v>22</v>
      </c>
      <c r="D9" s="4">
        <v>13.87</v>
      </c>
      <c r="E9" s="28">
        <v>2010</v>
      </c>
      <c r="F9" s="26">
        <v>39625</v>
      </c>
      <c r="G9" s="26">
        <v>41282</v>
      </c>
      <c r="H9" s="26">
        <v>46852</v>
      </c>
      <c r="I9" s="26">
        <v>35610</v>
      </c>
      <c r="J9" s="26">
        <v>32615</v>
      </c>
      <c r="K9" s="26"/>
      <c r="L9" s="26"/>
      <c r="M9" s="26"/>
      <c r="N9" s="26"/>
      <c r="O9" s="26"/>
      <c r="P9" s="26"/>
      <c r="Q9" s="26"/>
      <c r="R9" s="18">
        <f t="shared" si="0"/>
        <v>195984</v>
      </c>
    </row>
    <row r="10" spans="1:18" s="2" customFormat="1" ht="15">
      <c r="A10" s="8" t="s">
        <v>6</v>
      </c>
      <c r="B10" s="7" t="s">
        <v>23</v>
      </c>
      <c r="C10" s="8" t="s">
        <v>24</v>
      </c>
      <c r="D10" s="4">
        <v>6.64</v>
      </c>
      <c r="E10" s="28">
        <v>2010</v>
      </c>
      <c r="F10" s="26">
        <v>15062</v>
      </c>
      <c r="G10" s="26">
        <v>16959</v>
      </c>
      <c r="H10" s="26">
        <v>17886</v>
      </c>
      <c r="I10" s="26">
        <v>14136</v>
      </c>
      <c r="J10" s="26">
        <v>12064</v>
      </c>
      <c r="K10" s="26"/>
      <c r="L10" s="26"/>
      <c r="M10" s="26"/>
      <c r="N10" s="26"/>
      <c r="O10" s="26"/>
      <c r="P10" s="26"/>
      <c r="Q10" s="26"/>
      <c r="R10" s="18">
        <f t="shared" si="0"/>
        <v>76107</v>
      </c>
    </row>
    <row r="11" spans="1:18" s="2" customFormat="1" ht="15">
      <c r="A11" s="10" t="s">
        <v>6</v>
      </c>
      <c r="B11" s="9" t="s">
        <v>25</v>
      </c>
      <c r="C11" s="10" t="s">
        <v>26</v>
      </c>
      <c r="D11" s="4">
        <v>16.57</v>
      </c>
      <c r="E11" s="28">
        <v>2010</v>
      </c>
      <c r="F11" s="26">
        <v>34432</v>
      </c>
      <c r="G11" s="26">
        <v>45698</v>
      </c>
      <c r="H11" s="26">
        <v>48141</v>
      </c>
      <c r="I11" s="26">
        <v>39584</v>
      </c>
      <c r="J11" s="26">
        <v>37680</v>
      </c>
      <c r="K11" s="26"/>
      <c r="L11" s="26"/>
      <c r="M11" s="26"/>
      <c r="N11" s="26"/>
      <c r="O11" s="26"/>
      <c r="P11" s="26"/>
      <c r="Q11" s="26"/>
      <c r="R11" s="18">
        <f t="shared" si="0"/>
        <v>205535</v>
      </c>
    </row>
    <row r="12" spans="1:18" s="2" customFormat="1" ht="15">
      <c r="A12" s="10" t="s">
        <v>6</v>
      </c>
      <c r="B12" s="9" t="s">
        <v>27</v>
      </c>
      <c r="C12" s="10" t="s">
        <v>28</v>
      </c>
      <c r="D12" s="4">
        <v>7.92</v>
      </c>
      <c r="E12" s="28">
        <v>2010</v>
      </c>
      <c r="F12" s="26">
        <v>27698</v>
      </c>
      <c r="G12" s="26">
        <v>24101</v>
      </c>
      <c r="H12" s="26">
        <v>27622</v>
      </c>
      <c r="I12" s="26">
        <v>22385</v>
      </c>
      <c r="J12" s="26">
        <v>19403</v>
      </c>
      <c r="K12" s="26"/>
      <c r="L12" s="26"/>
      <c r="M12" s="26"/>
      <c r="N12" s="26"/>
      <c r="O12" s="26"/>
      <c r="P12" s="26"/>
      <c r="Q12" s="26"/>
      <c r="R12" s="18">
        <f t="shared" si="0"/>
        <v>121209</v>
      </c>
    </row>
    <row r="13" spans="1:18" s="2" customFormat="1" ht="15">
      <c r="A13" s="10" t="s">
        <v>6</v>
      </c>
      <c r="B13" s="9" t="s">
        <v>29</v>
      </c>
      <c r="C13" s="10" t="s">
        <v>30</v>
      </c>
      <c r="D13" s="4">
        <v>17.89</v>
      </c>
      <c r="E13" s="28">
        <v>2010</v>
      </c>
      <c r="F13" s="26">
        <v>52698</v>
      </c>
      <c r="G13" s="26">
        <v>47132</v>
      </c>
      <c r="H13" s="26">
        <v>48536</v>
      </c>
      <c r="I13" s="26">
        <v>44342</v>
      </c>
      <c r="J13" s="26">
        <v>35188</v>
      </c>
      <c r="K13" s="26"/>
      <c r="L13" s="26"/>
      <c r="M13" s="26"/>
      <c r="N13" s="26"/>
      <c r="O13" s="26"/>
      <c r="P13" s="26"/>
      <c r="Q13" s="26"/>
      <c r="R13" s="18">
        <f t="shared" si="0"/>
        <v>227896</v>
      </c>
    </row>
    <row r="14" spans="1:18" s="2" customFormat="1" ht="15">
      <c r="A14" s="8" t="s">
        <v>6</v>
      </c>
      <c r="B14" s="7" t="s">
        <v>31</v>
      </c>
      <c r="C14" s="8" t="s">
        <v>32</v>
      </c>
      <c r="D14" s="4">
        <v>20.5</v>
      </c>
      <c r="E14" s="28">
        <v>2011</v>
      </c>
      <c r="F14" s="26">
        <v>46546</v>
      </c>
      <c r="G14" s="26">
        <v>62496</v>
      </c>
      <c r="H14" s="26">
        <v>49820</v>
      </c>
      <c r="I14" s="26">
        <v>48001</v>
      </c>
      <c r="J14" s="26">
        <v>41749</v>
      </c>
      <c r="K14" s="26"/>
      <c r="L14" s="26"/>
      <c r="M14" s="26"/>
      <c r="N14" s="26"/>
      <c r="O14" s="26"/>
      <c r="P14" s="26"/>
      <c r="Q14" s="26"/>
      <c r="R14" s="18">
        <f t="shared" si="0"/>
        <v>248612</v>
      </c>
    </row>
    <row r="15" spans="1:18" s="2" customFormat="1" ht="15">
      <c r="A15" s="8" t="s">
        <v>6</v>
      </c>
      <c r="B15" s="7" t="s">
        <v>33</v>
      </c>
      <c r="C15" s="8" t="s">
        <v>34</v>
      </c>
      <c r="D15" s="4">
        <v>6.87</v>
      </c>
      <c r="E15" s="28">
        <v>2011</v>
      </c>
      <c r="F15" s="26">
        <v>20623</v>
      </c>
      <c r="G15" s="26">
        <v>26234</v>
      </c>
      <c r="H15" s="26">
        <v>26623</v>
      </c>
      <c r="I15" s="26">
        <v>19386</v>
      </c>
      <c r="J15" s="26">
        <v>20795</v>
      </c>
      <c r="K15" s="26"/>
      <c r="L15" s="26"/>
      <c r="M15" s="26"/>
      <c r="N15" s="26"/>
      <c r="O15" s="26"/>
      <c r="P15" s="26"/>
      <c r="Q15" s="26"/>
      <c r="R15" s="18">
        <f t="shared" si="0"/>
        <v>113661</v>
      </c>
    </row>
    <row r="16" spans="1:18" s="2" customFormat="1" ht="15">
      <c r="A16" s="8" t="s">
        <v>6</v>
      </c>
      <c r="B16" s="7" t="s">
        <v>35</v>
      </c>
      <c r="C16" s="8" t="s">
        <v>36</v>
      </c>
      <c r="D16" s="4">
        <v>9.49</v>
      </c>
      <c r="E16" s="28">
        <v>2011</v>
      </c>
      <c r="F16" s="26">
        <v>25173</v>
      </c>
      <c r="G16" s="26">
        <v>35217</v>
      </c>
      <c r="H16" s="26">
        <v>40193</v>
      </c>
      <c r="I16" s="26">
        <v>27197</v>
      </c>
      <c r="J16" s="26">
        <v>32144</v>
      </c>
      <c r="K16" s="26"/>
      <c r="L16" s="26"/>
      <c r="M16" s="26"/>
      <c r="N16" s="26"/>
      <c r="O16" s="26"/>
      <c r="P16" s="26"/>
      <c r="Q16" s="26"/>
      <c r="R16" s="18">
        <f t="shared" si="0"/>
        <v>159924</v>
      </c>
    </row>
    <row r="17" spans="1:18" s="2" customFormat="1" ht="15">
      <c r="A17" s="8" t="s">
        <v>6</v>
      </c>
      <c r="B17" s="7" t="s">
        <v>37</v>
      </c>
      <c r="C17" s="8" t="s">
        <v>38</v>
      </c>
      <c r="D17" s="4">
        <v>14.21</v>
      </c>
      <c r="E17" s="28">
        <v>2011</v>
      </c>
      <c r="F17" s="26">
        <v>39935</v>
      </c>
      <c r="G17" s="26">
        <v>49661</v>
      </c>
      <c r="H17" s="26">
        <v>51545</v>
      </c>
      <c r="I17" s="26">
        <v>39885</v>
      </c>
      <c r="J17" s="26">
        <v>44372</v>
      </c>
      <c r="K17" s="26"/>
      <c r="L17" s="26"/>
      <c r="M17" s="26"/>
      <c r="N17" s="26"/>
      <c r="O17" s="26"/>
      <c r="P17" s="26"/>
      <c r="Q17" s="26"/>
      <c r="R17" s="18">
        <f t="shared" si="0"/>
        <v>225398</v>
      </c>
    </row>
    <row r="18" spans="1:18" s="2" customFormat="1" ht="15">
      <c r="A18" s="8" t="s">
        <v>6</v>
      </c>
      <c r="B18" s="7" t="s">
        <v>39</v>
      </c>
      <c r="C18" s="8" t="s">
        <v>40</v>
      </c>
      <c r="D18" s="4">
        <v>29.23</v>
      </c>
      <c r="E18" s="28">
        <v>2011</v>
      </c>
      <c r="F18" s="26">
        <v>71733</v>
      </c>
      <c r="G18" s="26">
        <v>70986</v>
      </c>
      <c r="H18" s="26">
        <v>73550</v>
      </c>
      <c r="I18" s="26">
        <v>65679</v>
      </c>
      <c r="J18" s="26">
        <v>61005</v>
      </c>
      <c r="K18" s="26"/>
      <c r="L18" s="26"/>
      <c r="M18" s="26"/>
      <c r="N18" s="26"/>
      <c r="O18" s="26"/>
      <c r="P18" s="26"/>
      <c r="Q18" s="26"/>
      <c r="R18" s="18">
        <f t="shared" si="0"/>
        <v>342953</v>
      </c>
    </row>
    <row r="19" spans="1:18" s="2" customFormat="1" ht="15">
      <c r="A19" s="8" t="s">
        <v>6</v>
      </c>
      <c r="B19" s="7" t="s">
        <v>41</v>
      </c>
      <c r="C19" s="8" t="s">
        <v>42</v>
      </c>
      <c r="D19" s="4">
        <v>2.92</v>
      </c>
      <c r="E19" s="28">
        <v>2011</v>
      </c>
      <c r="F19" s="26">
        <v>9643</v>
      </c>
      <c r="G19" s="26">
        <v>9954</v>
      </c>
      <c r="H19" s="26">
        <v>8706</v>
      </c>
      <c r="I19" s="26">
        <v>7615</v>
      </c>
      <c r="J19" s="26">
        <v>7679</v>
      </c>
      <c r="K19" s="26"/>
      <c r="L19" s="26"/>
      <c r="M19" s="26"/>
      <c r="N19" s="26"/>
      <c r="O19" s="26"/>
      <c r="P19" s="26"/>
      <c r="Q19" s="26"/>
      <c r="R19" s="18">
        <f t="shared" si="0"/>
        <v>43597</v>
      </c>
    </row>
    <row r="20" spans="1:18" s="2" customFormat="1" ht="15">
      <c r="A20" s="8" t="s">
        <v>6</v>
      </c>
      <c r="B20" s="7" t="s">
        <v>43</v>
      </c>
      <c r="C20" s="8" t="s">
        <v>44</v>
      </c>
      <c r="D20" s="4">
        <v>31.31</v>
      </c>
      <c r="E20" s="28">
        <v>2011</v>
      </c>
      <c r="F20" s="26">
        <v>77406</v>
      </c>
      <c r="G20" s="26">
        <v>90489</v>
      </c>
      <c r="H20" s="26">
        <v>111099</v>
      </c>
      <c r="I20" s="26">
        <v>87975</v>
      </c>
      <c r="J20" s="26">
        <v>100852</v>
      </c>
      <c r="K20" s="26"/>
      <c r="L20" s="26"/>
      <c r="M20" s="26"/>
      <c r="N20" s="26"/>
      <c r="O20" s="26"/>
      <c r="P20" s="26"/>
      <c r="Q20" s="26"/>
      <c r="R20" s="18">
        <f t="shared" si="0"/>
        <v>467821</v>
      </c>
    </row>
    <row r="21" spans="1:18" s="2" customFormat="1" ht="15">
      <c r="A21" s="4" t="s">
        <v>6</v>
      </c>
      <c r="B21" s="3" t="s">
        <v>45</v>
      </c>
      <c r="C21" s="4" t="s">
        <v>46</v>
      </c>
      <c r="D21" s="4">
        <v>19.39</v>
      </c>
      <c r="E21" s="28">
        <v>2011</v>
      </c>
      <c r="F21" s="26">
        <v>41682</v>
      </c>
      <c r="G21" s="26">
        <v>39422</v>
      </c>
      <c r="H21" s="26">
        <v>66546</v>
      </c>
      <c r="I21" s="26">
        <v>44917</v>
      </c>
      <c r="J21" s="26">
        <v>53854</v>
      </c>
      <c r="K21" s="26"/>
      <c r="L21" s="26"/>
      <c r="M21" s="26"/>
      <c r="N21" s="26"/>
      <c r="O21" s="26"/>
      <c r="P21" s="26"/>
      <c r="Q21" s="26"/>
      <c r="R21" s="18">
        <f t="shared" si="0"/>
        <v>246421</v>
      </c>
    </row>
    <row r="22" spans="1:18" s="2" customFormat="1" ht="15">
      <c r="A22" s="4" t="s">
        <v>6</v>
      </c>
      <c r="B22" s="3" t="s">
        <v>47</v>
      </c>
      <c r="C22" s="4" t="s">
        <v>48</v>
      </c>
      <c r="D22" s="4">
        <v>19.100000000000001</v>
      </c>
      <c r="E22" s="28">
        <v>2011</v>
      </c>
      <c r="F22" s="26">
        <v>56223</v>
      </c>
      <c r="G22" s="26">
        <v>57196</v>
      </c>
      <c r="H22" s="26">
        <v>65579</v>
      </c>
      <c r="I22" s="26">
        <v>55832</v>
      </c>
      <c r="J22" s="26">
        <v>65910</v>
      </c>
      <c r="K22" s="26"/>
      <c r="L22" s="26"/>
      <c r="M22" s="26"/>
      <c r="N22" s="26"/>
      <c r="O22" s="26"/>
      <c r="P22" s="26"/>
      <c r="Q22" s="26"/>
      <c r="R22" s="18">
        <f t="shared" si="0"/>
        <v>300740</v>
      </c>
    </row>
    <row r="23" spans="1:18" s="2" customFormat="1" ht="15">
      <c r="A23" s="4" t="s">
        <v>6</v>
      </c>
      <c r="B23" s="3" t="s">
        <v>49</v>
      </c>
      <c r="C23" s="4" t="s">
        <v>50</v>
      </c>
      <c r="D23" s="4">
        <v>18.64</v>
      </c>
      <c r="E23" s="28">
        <v>2011</v>
      </c>
      <c r="F23" s="26">
        <v>34799</v>
      </c>
      <c r="G23" s="26">
        <v>38129</v>
      </c>
      <c r="H23" s="26">
        <v>45272</v>
      </c>
      <c r="I23" s="26">
        <v>36973</v>
      </c>
      <c r="J23" s="26">
        <v>36814</v>
      </c>
      <c r="K23" s="26"/>
      <c r="L23" s="26"/>
      <c r="M23" s="26"/>
      <c r="N23" s="26"/>
      <c r="O23" s="26"/>
      <c r="P23" s="26"/>
      <c r="Q23" s="26"/>
      <c r="R23" s="18">
        <f t="shared" si="0"/>
        <v>191987</v>
      </c>
    </row>
    <row r="24" spans="1:18" s="2" customFormat="1" ht="15">
      <c r="A24" s="4" t="s">
        <v>6</v>
      </c>
      <c r="B24" s="3" t="s">
        <v>51</v>
      </c>
      <c r="C24" s="4" t="s">
        <v>52</v>
      </c>
      <c r="D24" s="4">
        <v>18.8</v>
      </c>
      <c r="E24" s="28">
        <v>2011</v>
      </c>
      <c r="F24" s="26">
        <v>40718</v>
      </c>
      <c r="G24" s="26">
        <v>43376</v>
      </c>
      <c r="H24" s="26">
        <v>47511</v>
      </c>
      <c r="I24" s="26">
        <v>39161</v>
      </c>
      <c r="J24" s="26">
        <v>51322</v>
      </c>
      <c r="K24" s="26"/>
      <c r="L24" s="26"/>
      <c r="M24" s="26"/>
      <c r="N24" s="26"/>
      <c r="O24" s="26"/>
      <c r="P24" s="26"/>
      <c r="Q24" s="26"/>
      <c r="R24" s="18">
        <f t="shared" si="0"/>
        <v>222088</v>
      </c>
    </row>
    <row r="25" spans="1:18" s="2" customFormat="1" ht="15">
      <c r="A25" s="4" t="s">
        <v>6</v>
      </c>
      <c r="B25" s="3" t="s">
        <v>53</v>
      </c>
      <c r="C25" s="4" t="s">
        <v>54</v>
      </c>
      <c r="D25" s="4">
        <v>19.239999999999998</v>
      </c>
      <c r="E25" s="28">
        <v>2011</v>
      </c>
      <c r="F25" s="26">
        <v>41798</v>
      </c>
      <c r="G25" s="26">
        <v>44616</v>
      </c>
      <c r="H25" s="26">
        <v>57496</v>
      </c>
      <c r="I25" s="26">
        <v>49577</v>
      </c>
      <c r="J25" s="26">
        <v>49324</v>
      </c>
      <c r="K25" s="26"/>
      <c r="L25" s="26"/>
      <c r="M25" s="26"/>
      <c r="N25" s="26"/>
      <c r="O25" s="26"/>
      <c r="P25" s="26"/>
      <c r="Q25" s="26"/>
      <c r="R25" s="18">
        <f t="shared" si="0"/>
        <v>242811</v>
      </c>
    </row>
    <row r="26" spans="1:18" s="2" customFormat="1" ht="15">
      <c r="A26" s="4" t="s">
        <v>6</v>
      </c>
      <c r="B26" s="3" t="s">
        <v>55</v>
      </c>
      <c r="C26" s="4" t="s">
        <v>56</v>
      </c>
      <c r="D26" s="4">
        <v>17.45</v>
      </c>
      <c r="E26" s="28">
        <v>2011</v>
      </c>
      <c r="F26" s="26">
        <v>38035</v>
      </c>
      <c r="G26" s="26">
        <v>50873</v>
      </c>
      <c r="H26" s="26">
        <v>49473</v>
      </c>
      <c r="I26" s="26">
        <v>61343</v>
      </c>
      <c r="J26" s="26">
        <v>44607</v>
      </c>
      <c r="K26" s="26"/>
      <c r="L26" s="26"/>
      <c r="M26" s="26"/>
      <c r="N26" s="26"/>
      <c r="O26" s="26"/>
      <c r="P26" s="26"/>
      <c r="Q26" s="26"/>
      <c r="R26" s="18">
        <f t="shared" si="0"/>
        <v>244331</v>
      </c>
    </row>
    <row r="27" spans="1:18" s="2" customFormat="1" ht="15">
      <c r="A27" s="4" t="s">
        <v>6</v>
      </c>
      <c r="B27" s="3" t="s">
        <v>57</v>
      </c>
      <c r="C27" s="4" t="s">
        <v>58</v>
      </c>
      <c r="D27" s="4">
        <v>19.329999999999998</v>
      </c>
      <c r="E27" s="28">
        <v>2011</v>
      </c>
      <c r="F27" s="26">
        <v>22736</v>
      </c>
      <c r="G27" s="26">
        <v>30843</v>
      </c>
      <c r="H27" s="26">
        <v>33540</v>
      </c>
      <c r="I27" s="26">
        <v>38778</v>
      </c>
      <c r="J27" s="26">
        <v>31522</v>
      </c>
      <c r="K27" s="26"/>
      <c r="L27" s="26"/>
      <c r="M27" s="26"/>
      <c r="N27" s="26"/>
      <c r="O27" s="26"/>
      <c r="P27" s="26"/>
      <c r="Q27" s="26"/>
      <c r="R27" s="18">
        <f t="shared" si="0"/>
        <v>157419</v>
      </c>
    </row>
    <row r="28" spans="1:18" s="2" customFormat="1" ht="15">
      <c r="A28" s="4" t="s">
        <v>6</v>
      </c>
      <c r="B28" s="3" t="s">
        <v>59</v>
      </c>
      <c r="C28" s="4" t="s">
        <v>60</v>
      </c>
      <c r="D28" s="4">
        <v>28.44</v>
      </c>
      <c r="E28" s="28">
        <v>2011</v>
      </c>
      <c r="F28" s="26">
        <v>52149</v>
      </c>
      <c r="G28" s="26">
        <v>60328</v>
      </c>
      <c r="H28" s="26">
        <v>77680</v>
      </c>
      <c r="I28" s="26">
        <v>77822</v>
      </c>
      <c r="J28" s="26">
        <v>47808</v>
      </c>
      <c r="K28" s="26"/>
      <c r="L28" s="26"/>
      <c r="M28" s="26"/>
      <c r="N28" s="26"/>
      <c r="O28" s="26"/>
      <c r="P28" s="26"/>
      <c r="Q28" s="26"/>
      <c r="R28" s="18">
        <f t="shared" si="0"/>
        <v>315787</v>
      </c>
    </row>
    <row r="29" spans="1:18" s="2" customFormat="1" ht="15">
      <c r="A29" s="4" t="s">
        <v>6</v>
      </c>
      <c r="B29" s="3" t="s">
        <v>61</v>
      </c>
      <c r="C29" s="4" t="s">
        <v>62</v>
      </c>
      <c r="D29" s="4">
        <v>29.76</v>
      </c>
      <c r="E29" s="28">
        <v>2011</v>
      </c>
      <c r="F29" s="26">
        <v>54046</v>
      </c>
      <c r="G29" s="26">
        <v>71244</v>
      </c>
      <c r="H29" s="26">
        <v>68657</v>
      </c>
      <c r="I29" s="26">
        <v>81116</v>
      </c>
      <c r="J29" s="26">
        <v>47410</v>
      </c>
      <c r="K29" s="26"/>
      <c r="L29" s="26"/>
      <c r="M29" s="26"/>
      <c r="N29" s="26"/>
      <c r="O29" s="26"/>
      <c r="P29" s="26"/>
      <c r="Q29" s="26"/>
      <c r="R29" s="18">
        <f t="shared" si="0"/>
        <v>322473</v>
      </c>
    </row>
    <row r="30" spans="1:18" s="2" customFormat="1" ht="15">
      <c r="A30" s="4" t="s">
        <v>6</v>
      </c>
      <c r="B30" s="3" t="s">
        <v>63</v>
      </c>
      <c r="C30" s="4" t="s">
        <v>64</v>
      </c>
      <c r="D30" s="4">
        <v>27.43</v>
      </c>
      <c r="E30" s="29">
        <v>2013</v>
      </c>
      <c r="F30" s="26">
        <v>68750</v>
      </c>
      <c r="G30" s="26">
        <v>80860</v>
      </c>
      <c r="H30" s="26">
        <v>95960</v>
      </c>
      <c r="I30" s="26">
        <v>65657</v>
      </c>
      <c r="J30" s="26">
        <v>78617</v>
      </c>
      <c r="K30" s="26"/>
      <c r="L30" s="26"/>
      <c r="M30" s="26"/>
      <c r="N30" s="26"/>
      <c r="O30" s="26"/>
      <c r="P30" s="26"/>
      <c r="Q30" s="26"/>
      <c r="R30" s="18">
        <f t="shared" si="0"/>
        <v>389844</v>
      </c>
    </row>
    <row r="31" spans="1:18" s="2" customFormat="1" ht="15">
      <c r="A31" s="4" t="s">
        <v>6</v>
      </c>
      <c r="B31" s="3" t="s">
        <v>65</v>
      </c>
      <c r="C31" s="4" t="s">
        <v>66</v>
      </c>
      <c r="D31" s="4">
        <v>12.48</v>
      </c>
      <c r="E31" s="28">
        <v>2013</v>
      </c>
      <c r="F31" s="26">
        <v>33167</v>
      </c>
      <c r="G31" s="26">
        <v>38126</v>
      </c>
      <c r="H31" s="26">
        <v>39133</v>
      </c>
      <c r="I31" s="26">
        <v>31609</v>
      </c>
      <c r="J31" s="26">
        <v>37583</v>
      </c>
      <c r="K31" s="26"/>
      <c r="L31" s="26"/>
      <c r="M31" s="26"/>
      <c r="N31" s="26"/>
      <c r="O31" s="26"/>
      <c r="P31" s="26"/>
      <c r="Q31" s="26"/>
      <c r="R31" s="18">
        <f t="shared" si="0"/>
        <v>179618</v>
      </c>
    </row>
    <row r="32" spans="1:18" s="2" customFormat="1" ht="15">
      <c r="A32" s="4" t="s">
        <v>6</v>
      </c>
      <c r="B32" s="3" t="s">
        <v>67</v>
      </c>
      <c r="C32" s="4" t="s">
        <v>68</v>
      </c>
      <c r="D32" s="4">
        <v>19.12</v>
      </c>
      <c r="E32" s="28">
        <v>2011</v>
      </c>
      <c r="F32" s="26">
        <v>49715</v>
      </c>
      <c r="G32" s="26">
        <v>48282</v>
      </c>
      <c r="H32" s="26">
        <v>52390</v>
      </c>
      <c r="I32" s="26">
        <v>49033</v>
      </c>
      <c r="J32" s="26">
        <v>45329</v>
      </c>
      <c r="K32" s="26"/>
      <c r="L32" s="26"/>
      <c r="M32" s="26"/>
      <c r="N32" s="26"/>
      <c r="O32" s="26"/>
      <c r="P32" s="26"/>
      <c r="Q32" s="26"/>
      <c r="R32" s="18">
        <f t="shared" si="0"/>
        <v>244749</v>
      </c>
    </row>
    <row r="33" spans="1:18" s="2" customFormat="1" ht="15">
      <c r="A33" s="4" t="s">
        <v>6</v>
      </c>
      <c r="B33" s="3" t="s">
        <v>69</v>
      </c>
      <c r="C33" s="4" t="s">
        <v>70</v>
      </c>
      <c r="D33" s="4">
        <v>18.88</v>
      </c>
      <c r="E33" s="28">
        <v>2011</v>
      </c>
      <c r="F33" s="26">
        <v>48814</v>
      </c>
      <c r="G33" s="26">
        <v>50914</v>
      </c>
      <c r="H33" s="26">
        <v>53121</v>
      </c>
      <c r="I33" s="26">
        <v>42242</v>
      </c>
      <c r="J33" s="26">
        <v>49619</v>
      </c>
      <c r="K33" s="26"/>
      <c r="L33" s="26"/>
      <c r="M33" s="26"/>
      <c r="N33" s="26"/>
      <c r="O33" s="26"/>
      <c r="P33" s="26"/>
      <c r="Q33" s="26"/>
      <c r="R33" s="18">
        <f t="shared" si="0"/>
        <v>244710</v>
      </c>
    </row>
    <row r="34" spans="1:18" s="2" customFormat="1" ht="15">
      <c r="A34" s="4" t="s">
        <v>6</v>
      </c>
      <c r="B34" s="3" t="s">
        <v>71</v>
      </c>
      <c r="C34" s="4" t="s">
        <v>72</v>
      </c>
      <c r="D34" s="4">
        <v>27.19</v>
      </c>
      <c r="E34" s="28">
        <v>2011</v>
      </c>
      <c r="F34" s="26">
        <v>70091</v>
      </c>
      <c r="G34" s="26">
        <v>110711</v>
      </c>
      <c r="H34" s="26">
        <v>76990</v>
      </c>
      <c r="I34" s="26">
        <v>111844</v>
      </c>
      <c r="J34" s="26">
        <v>68314</v>
      </c>
      <c r="K34" s="26"/>
      <c r="L34" s="26"/>
      <c r="M34" s="26"/>
      <c r="N34" s="26"/>
      <c r="O34" s="26"/>
      <c r="P34" s="26"/>
      <c r="Q34" s="26"/>
      <c r="R34" s="18">
        <f t="shared" si="0"/>
        <v>437950</v>
      </c>
    </row>
    <row r="35" spans="1:18" s="2" customFormat="1" ht="15">
      <c r="A35" s="4" t="s">
        <v>6</v>
      </c>
      <c r="B35" s="3" t="s">
        <v>73</v>
      </c>
      <c r="C35" s="4" t="s">
        <v>74</v>
      </c>
      <c r="D35" s="4">
        <v>29.83</v>
      </c>
      <c r="E35" s="28">
        <v>2011</v>
      </c>
      <c r="F35" s="26">
        <v>43803</v>
      </c>
      <c r="G35" s="26">
        <v>74754</v>
      </c>
      <c r="H35" s="26">
        <v>48626</v>
      </c>
      <c r="I35" s="26">
        <v>78185</v>
      </c>
      <c r="J35" s="26">
        <v>50678</v>
      </c>
      <c r="K35" s="26"/>
      <c r="L35" s="26"/>
      <c r="M35" s="26"/>
      <c r="N35" s="26"/>
      <c r="O35" s="26"/>
      <c r="P35" s="26"/>
      <c r="Q35" s="26"/>
      <c r="R35" s="18">
        <f t="shared" si="0"/>
        <v>296046</v>
      </c>
    </row>
    <row r="36" spans="1:18" s="2" customFormat="1" ht="15">
      <c r="A36" s="10" t="s">
        <v>6</v>
      </c>
      <c r="B36" s="9" t="s">
        <v>75</v>
      </c>
      <c r="C36" s="10" t="s">
        <v>76</v>
      </c>
      <c r="D36" s="4">
        <v>18.05</v>
      </c>
      <c r="E36" s="28">
        <v>2011</v>
      </c>
      <c r="F36" s="26">
        <v>33644</v>
      </c>
      <c r="G36" s="26">
        <v>64210</v>
      </c>
      <c r="H36" s="26">
        <v>51977</v>
      </c>
      <c r="I36" s="26">
        <v>51389</v>
      </c>
      <c r="J36" s="26">
        <v>39808</v>
      </c>
      <c r="K36" s="26"/>
      <c r="L36" s="26"/>
      <c r="M36" s="26"/>
      <c r="N36" s="26"/>
      <c r="O36" s="26"/>
      <c r="P36" s="26"/>
      <c r="Q36" s="26"/>
      <c r="R36" s="18">
        <f t="shared" si="0"/>
        <v>241028</v>
      </c>
    </row>
    <row r="37" spans="1:18" s="2" customFormat="1" ht="15">
      <c r="A37" s="10" t="s">
        <v>6</v>
      </c>
      <c r="B37" s="9" t="s">
        <v>77</v>
      </c>
      <c r="C37" s="10" t="s">
        <v>78</v>
      </c>
      <c r="D37" s="4">
        <v>17.690000000000001</v>
      </c>
      <c r="E37" s="28">
        <v>2011</v>
      </c>
      <c r="F37" s="26">
        <v>38603</v>
      </c>
      <c r="G37" s="26">
        <v>57963</v>
      </c>
      <c r="H37" s="26">
        <v>53903</v>
      </c>
      <c r="I37" s="26">
        <v>46420</v>
      </c>
      <c r="J37" s="26">
        <v>43934</v>
      </c>
      <c r="K37" s="26"/>
      <c r="L37" s="26"/>
      <c r="M37" s="26"/>
      <c r="N37" s="26"/>
      <c r="O37" s="26"/>
      <c r="P37" s="26"/>
      <c r="Q37" s="26"/>
      <c r="R37" s="18">
        <f t="shared" si="0"/>
        <v>240823</v>
      </c>
    </row>
    <row r="38" spans="1:18" s="2" customFormat="1" ht="15">
      <c r="A38" s="10" t="s">
        <v>6</v>
      </c>
      <c r="B38" s="9" t="s">
        <v>79</v>
      </c>
      <c r="C38" s="10" t="s">
        <v>80</v>
      </c>
      <c r="D38" s="4">
        <v>16.920000000000002</v>
      </c>
      <c r="E38" s="28">
        <v>2011</v>
      </c>
      <c r="F38" s="26">
        <v>42544</v>
      </c>
      <c r="G38" s="26">
        <v>51828</v>
      </c>
      <c r="H38" s="26">
        <v>51364</v>
      </c>
      <c r="I38" s="26">
        <v>43219</v>
      </c>
      <c r="J38" s="26">
        <v>43493</v>
      </c>
      <c r="K38" s="26"/>
      <c r="L38" s="26"/>
      <c r="M38" s="26"/>
      <c r="N38" s="26"/>
      <c r="O38" s="26"/>
      <c r="P38" s="26"/>
      <c r="Q38" s="26"/>
      <c r="R38" s="18">
        <f t="shared" si="0"/>
        <v>232448</v>
      </c>
    </row>
    <row r="39" spans="1:18" s="2" customFormat="1" ht="15">
      <c r="A39" s="10" t="s">
        <v>6</v>
      </c>
      <c r="B39" s="9" t="s">
        <v>81</v>
      </c>
      <c r="C39" s="10" t="s">
        <v>82</v>
      </c>
      <c r="D39" s="4">
        <v>16.91</v>
      </c>
      <c r="E39" s="28">
        <v>2011</v>
      </c>
      <c r="F39" s="26">
        <v>47946</v>
      </c>
      <c r="G39" s="26">
        <v>55541</v>
      </c>
      <c r="H39" s="26">
        <v>56444</v>
      </c>
      <c r="I39" s="26">
        <v>47916</v>
      </c>
      <c r="J39" s="26">
        <v>38952</v>
      </c>
      <c r="K39" s="26"/>
      <c r="L39" s="26"/>
      <c r="M39" s="26"/>
      <c r="N39" s="26"/>
      <c r="O39" s="26"/>
      <c r="P39" s="26"/>
      <c r="Q39" s="26"/>
      <c r="R39" s="18">
        <f t="shared" si="0"/>
        <v>246799</v>
      </c>
    </row>
    <row r="40" spans="1:18" s="2" customFormat="1" ht="15">
      <c r="A40" s="10" t="s">
        <v>6</v>
      </c>
      <c r="B40" s="9" t="s">
        <v>83</v>
      </c>
      <c r="C40" s="10" t="s">
        <v>84</v>
      </c>
      <c r="D40" s="4">
        <v>29.03</v>
      </c>
      <c r="E40" s="28">
        <v>2011</v>
      </c>
      <c r="F40" s="26">
        <v>51498</v>
      </c>
      <c r="G40" s="26">
        <v>85751</v>
      </c>
      <c r="H40" s="26">
        <v>65373</v>
      </c>
      <c r="I40" s="26">
        <v>84879</v>
      </c>
      <c r="J40" s="26">
        <v>56566</v>
      </c>
      <c r="K40" s="26"/>
      <c r="L40" s="26"/>
      <c r="M40" s="26"/>
      <c r="N40" s="26"/>
      <c r="O40" s="26"/>
      <c r="P40" s="26"/>
      <c r="Q40" s="26"/>
      <c r="R40" s="18">
        <f t="shared" si="0"/>
        <v>344067</v>
      </c>
    </row>
    <row r="41" spans="1:18" s="2" customFormat="1" ht="15">
      <c r="A41" s="10" t="s">
        <v>6</v>
      </c>
      <c r="B41" s="9" t="s">
        <v>85</v>
      </c>
      <c r="C41" s="10" t="s">
        <v>86</v>
      </c>
      <c r="D41" s="4">
        <v>29.67</v>
      </c>
      <c r="E41" s="28">
        <v>2011</v>
      </c>
      <c r="F41" s="26">
        <v>58893</v>
      </c>
      <c r="G41" s="26">
        <v>110467</v>
      </c>
      <c r="H41" s="26">
        <v>73328</v>
      </c>
      <c r="I41" s="26">
        <v>79379</v>
      </c>
      <c r="J41" s="26">
        <v>56161</v>
      </c>
      <c r="K41" s="26"/>
      <c r="L41" s="26"/>
      <c r="M41" s="26"/>
      <c r="N41" s="26"/>
      <c r="O41" s="26"/>
      <c r="P41" s="26"/>
      <c r="Q41" s="26"/>
      <c r="R41" s="18">
        <f t="shared" si="0"/>
        <v>378228</v>
      </c>
    </row>
    <row r="42" spans="1:18" s="2" customFormat="1" ht="15">
      <c r="A42" s="10" t="s">
        <v>6</v>
      </c>
      <c r="B42" s="9" t="s">
        <v>87</v>
      </c>
      <c r="C42" s="10" t="s">
        <v>88</v>
      </c>
      <c r="D42" s="4">
        <v>28.75</v>
      </c>
      <c r="E42" s="28">
        <v>2011</v>
      </c>
      <c r="F42" s="26">
        <v>59286</v>
      </c>
      <c r="G42" s="26">
        <v>88268</v>
      </c>
      <c r="H42" s="26">
        <v>50250</v>
      </c>
      <c r="I42" s="26">
        <v>74060</v>
      </c>
      <c r="J42" s="26">
        <v>56697</v>
      </c>
      <c r="K42" s="26"/>
      <c r="L42" s="26"/>
      <c r="M42" s="26"/>
      <c r="N42" s="26"/>
      <c r="O42" s="26"/>
      <c r="P42" s="26"/>
      <c r="Q42" s="26"/>
      <c r="R42" s="18">
        <f t="shared" si="0"/>
        <v>328561</v>
      </c>
    </row>
    <row r="43" spans="1:18" s="2" customFormat="1" ht="15">
      <c r="A43" s="10" t="s">
        <v>89</v>
      </c>
      <c r="B43" s="9" t="s">
        <v>90</v>
      </c>
      <c r="C43" s="10" t="s">
        <v>91</v>
      </c>
      <c r="D43" s="4">
        <v>2.9</v>
      </c>
      <c r="E43" s="28">
        <v>2013</v>
      </c>
      <c r="F43" s="26">
        <v>7361</v>
      </c>
      <c r="G43" s="26">
        <v>7505</v>
      </c>
      <c r="H43" s="26">
        <v>7727</v>
      </c>
      <c r="I43" s="26">
        <v>7230</v>
      </c>
      <c r="J43" s="26">
        <v>4742</v>
      </c>
      <c r="K43" s="26"/>
      <c r="L43" s="26"/>
      <c r="M43" s="26"/>
      <c r="N43" s="26"/>
      <c r="O43" s="26"/>
      <c r="P43" s="26"/>
      <c r="Q43" s="26"/>
      <c r="R43" s="18">
        <f t="shared" si="0"/>
        <v>34565</v>
      </c>
    </row>
    <row r="44" spans="1:18" s="2" customFormat="1" ht="15">
      <c r="A44" s="10" t="s">
        <v>89</v>
      </c>
      <c r="B44" s="9" t="s">
        <v>92</v>
      </c>
      <c r="C44" s="10" t="s">
        <v>93</v>
      </c>
      <c r="D44" s="4">
        <v>8.11</v>
      </c>
      <c r="E44" s="28">
        <v>2013</v>
      </c>
      <c r="F44" s="26">
        <v>19540</v>
      </c>
      <c r="G44" s="26">
        <v>20424</v>
      </c>
      <c r="H44" s="26">
        <v>19986</v>
      </c>
      <c r="I44" s="26">
        <v>20020</v>
      </c>
      <c r="J44" s="26">
        <v>13698</v>
      </c>
      <c r="K44" s="26"/>
      <c r="L44" s="26"/>
      <c r="M44" s="26"/>
      <c r="N44" s="26"/>
      <c r="O44" s="26"/>
      <c r="P44" s="26"/>
      <c r="Q44" s="26"/>
      <c r="R44" s="18">
        <f t="shared" si="0"/>
        <v>93668</v>
      </c>
    </row>
    <row r="45" spans="1:18" s="2" customFormat="1" ht="15">
      <c r="A45" s="10" t="s">
        <v>89</v>
      </c>
      <c r="B45" s="9" t="s">
        <v>94</v>
      </c>
      <c r="C45" s="10" t="s">
        <v>95</v>
      </c>
      <c r="D45" s="4">
        <v>13.73</v>
      </c>
      <c r="E45" s="28">
        <v>2013</v>
      </c>
      <c r="F45" s="26">
        <v>35985</v>
      </c>
      <c r="G45" s="26">
        <v>38538</v>
      </c>
      <c r="H45" s="26">
        <v>41229</v>
      </c>
      <c r="I45" s="26">
        <v>36930</v>
      </c>
      <c r="J45" s="26">
        <v>28412</v>
      </c>
      <c r="K45" s="26"/>
      <c r="L45" s="26"/>
      <c r="M45" s="26"/>
      <c r="N45" s="26"/>
      <c r="O45" s="26"/>
      <c r="P45" s="26"/>
      <c r="Q45" s="26"/>
      <c r="R45" s="18">
        <f t="shared" si="0"/>
        <v>181094</v>
      </c>
    </row>
    <row r="46" spans="1:18" s="2" customFormat="1" ht="15">
      <c r="A46" s="10" t="s">
        <v>89</v>
      </c>
      <c r="B46" s="9" t="s">
        <v>96</v>
      </c>
      <c r="C46" s="10" t="s">
        <v>97</v>
      </c>
      <c r="D46" s="4">
        <v>18.97</v>
      </c>
      <c r="E46" s="28">
        <v>2013</v>
      </c>
      <c r="F46" s="26">
        <v>56554</v>
      </c>
      <c r="G46" s="26">
        <v>64633</v>
      </c>
      <c r="H46" s="26">
        <v>59966</v>
      </c>
      <c r="I46" s="26">
        <v>54107</v>
      </c>
      <c r="J46" s="26">
        <v>42419</v>
      </c>
      <c r="K46" s="26"/>
      <c r="L46" s="26"/>
      <c r="M46" s="26"/>
      <c r="N46" s="26"/>
      <c r="O46" s="26"/>
      <c r="P46" s="26"/>
      <c r="Q46" s="26"/>
      <c r="R46" s="18">
        <f t="shared" si="0"/>
        <v>277679</v>
      </c>
    </row>
    <row r="47" spans="1:18" s="2" customFormat="1" ht="15">
      <c r="A47" s="10" t="s">
        <v>89</v>
      </c>
      <c r="B47" s="9" t="s">
        <v>98</v>
      </c>
      <c r="C47" s="10" t="s">
        <v>99</v>
      </c>
      <c r="D47" s="4">
        <v>20.11</v>
      </c>
      <c r="E47" s="28">
        <v>2013</v>
      </c>
      <c r="F47" s="26">
        <v>50511</v>
      </c>
      <c r="G47" s="26">
        <v>68816</v>
      </c>
      <c r="H47" s="26">
        <v>64057</v>
      </c>
      <c r="I47" s="26">
        <v>56328</v>
      </c>
      <c r="J47" s="26">
        <v>45979</v>
      </c>
      <c r="K47" s="26"/>
      <c r="L47" s="26"/>
      <c r="M47" s="26"/>
      <c r="N47" s="26"/>
      <c r="O47" s="26"/>
      <c r="P47" s="26"/>
      <c r="Q47" s="26"/>
      <c r="R47" s="18">
        <f t="shared" si="0"/>
        <v>285691</v>
      </c>
    </row>
    <row r="48" spans="1:18" s="2" customFormat="1" ht="15">
      <c r="A48" s="10" t="s">
        <v>89</v>
      </c>
      <c r="B48" s="9" t="s">
        <v>100</v>
      </c>
      <c r="C48" s="10" t="s">
        <v>101</v>
      </c>
      <c r="D48" s="4">
        <v>19.7</v>
      </c>
      <c r="E48" s="28">
        <v>2013</v>
      </c>
      <c r="F48" s="26">
        <v>58841</v>
      </c>
      <c r="G48" s="26">
        <v>64194</v>
      </c>
      <c r="H48" s="26">
        <v>59645</v>
      </c>
      <c r="I48" s="26">
        <v>51979</v>
      </c>
      <c r="J48" s="26">
        <v>40629</v>
      </c>
      <c r="K48" s="26"/>
      <c r="L48" s="26"/>
      <c r="M48" s="26"/>
      <c r="N48" s="26"/>
      <c r="O48" s="26"/>
      <c r="P48" s="26"/>
      <c r="Q48" s="26"/>
      <c r="R48" s="18">
        <f t="shared" si="0"/>
        <v>275288</v>
      </c>
    </row>
    <row r="49" spans="1:18" s="2" customFormat="1" ht="15">
      <c r="A49" s="10" t="s">
        <v>89</v>
      </c>
      <c r="B49" s="9" t="s">
        <v>102</v>
      </c>
      <c r="C49" s="10" t="s">
        <v>103</v>
      </c>
      <c r="D49" s="4">
        <v>15.78</v>
      </c>
      <c r="E49" s="28">
        <v>2013</v>
      </c>
      <c r="F49" s="26">
        <v>36619</v>
      </c>
      <c r="G49" s="26">
        <v>44969</v>
      </c>
      <c r="H49" s="26">
        <v>42912</v>
      </c>
      <c r="I49" s="26">
        <v>35215</v>
      </c>
      <c r="J49" s="26">
        <v>33268</v>
      </c>
      <c r="K49" s="26"/>
      <c r="L49" s="26"/>
      <c r="M49" s="26"/>
      <c r="N49" s="26"/>
      <c r="O49" s="26"/>
      <c r="P49" s="26"/>
      <c r="Q49" s="26"/>
      <c r="R49" s="18">
        <f t="shared" si="0"/>
        <v>192983</v>
      </c>
    </row>
    <row r="50" spans="1:18" s="2" customFormat="1" ht="15">
      <c r="A50" s="10" t="s">
        <v>89</v>
      </c>
      <c r="B50" s="9" t="s">
        <v>104</v>
      </c>
      <c r="C50" s="10" t="s">
        <v>105</v>
      </c>
      <c r="D50" s="4">
        <v>15.24</v>
      </c>
      <c r="E50" s="28">
        <v>2013</v>
      </c>
      <c r="F50" s="26">
        <v>33308</v>
      </c>
      <c r="G50" s="26">
        <v>39374</v>
      </c>
      <c r="H50" s="26">
        <v>38353</v>
      </c>
      <c r="I50" s="26">
        <v>30770</v>
      </c>
      <c r="J50" s="26">
        <v>33755</v>
      </c>
      <c r="K50" s="26"/>
      <c r="L50" s="26"/>
      <c r="M50" s="26"/>
      <c r="N50" s="26"/>
      <c r="O50" s="26"/>
      <c r="P50" s="26"/>
      <c r="Q50" s="26"/>
      <c r="R50" s="18">
        <f t="shared" si="0"/>
        <v>175560</v>
      </c>
    </row>
    <row r="51" spans="1:18" s="2" customFormat="1" ht="15">
      <c r="A51" s="10" t="s">
        <v>89</v>
      </c>
      <c r="B51" s="9" t="s">
        <v>106</v>
      </c>
      <c r="C51" s="10" t="s">
        <v>107</v>
      </c>
      <c r="D51" s="4">
        <v>13.99</v>
      </c>
      <c r="E51" s="28">
        <v>2013</v>
      </c>
      <c r="F51" s="26">
        <v>36267</v>
      </c>
      <c r="G51" s="26">
        <v>44035</v>
      </c>
      <c r="H51" s="26">
        <v>42329</v>
      </c>
      <c r="I51" s="26">
        <v>34442</v>
      </c>
      <c r="J51" s="26">
        <v>31513</v>
      </c>
      <c r="K51" s="26"/>
      <c r="L51" s="26"/>
      <c r="M51" s="26"/>
      <c r="N51" s="26"/>
      <c r="O51" s="26"/>
      <c r="P51" s="26"/>
      <c r="Q51" s="26"/>
      <c r="R51" s="18">
        <f t="shared" si="0"/>
        <v>188586</v>
      </c>
    </row>
    <row r="52" spans="1:18" s="2" customFormat="1" ht="15">
      <c r="A52" s="10" t="s">
        <v>89</v>
      </c>
      <c r="B52" s="9" t="s">
        <v>108</v>
      </c>
      <c r="C52" s="10" t="s">
        <v>109</v>
      </c>
      <c r="D52" s="4">
        <v>6.19</v>
      </c>
      <c r="E52" s="28">
        <v>2014</v>
      </c>
      <c r="F52" s="26">
        <v>12491</v>
      </c>
      <c r="G52" s="26">
        <v>13663</v>
      </c>
      <c r="H52" s="26">
        <v>13865</v>
      </c>
      <c r="I52" s="26">
        <v>12303</v>
      </c>
      <c r="J52" s="26">
        <v>8821</v>
      </c>
      <c r="K52" s="26"/>
      <c r="L52" s="26"/>
      <c r="M52" s="26"/>
      <c r="N52" s="26"/>
      <c r="O52" s="26"/>
      <c r="P52" s="26"/>
      <c r="Q52" s="26"/>
      <c r="R52" s="18">
        <f t="shared" si="0"/>
        <v>61143</v>
      </c>
    </row>
    <row r="53" spans="1:18" s="2" customFormat="1" ht="15">
      <c r="A53" s="10" t="s">
        <v>89</v>
      </c>
      <c r="B53" s="9" t="s">
        <v>110</v>
      </c>
      <c r="C53" s="10" t="s">
        <v>111</v>
      </c>
      <c r="D53" s="4">
        <v>12.1</v>
      </c>
      <c r="E53" s="28">
        <v>2014</v>
      </c>
      <c r="F53" s="26">
        <v>25819</v>
      </c>
      <c r="G53" s="26">
        <v>29504</v>
      </c>
      <c r="H53" s="26">
        <v>29928</v>
      </c>
      <c r="I53" s="26">
        <v>26948</v>
      </c>
      <c r="J53" s="26">
        <v>17650</v>
      </c>
      <c r="K53" s="26"/>
      <c r="L53" s="26"/>
      <c r="M53" s="26"/>
      <c r="N53" s="26"/>
      <c r="O53" s="26"/>
      <c r="P53" s="26"/>
      <c r="Q53" s="26"/>
      <c r="R53" s="18">
        <f t="shared" si="0"/>
        <v>129849</v>
      </c>
    </row>
    <row r="54" spans="1:18" s="2" customFormat="1" ht="15">
      <c r="A54" s="10" t="s">
        <v>89</v>
      </c>
      <c r="B54" s="9" t="s">
        <v>112</v>
      </c>
      <c r="C54" s="10" t="s">
        <v>113</v>
      </c>
      <c r="D54" s="4">
        <v>16.170000000000002</v>
      </c>
      <c r="E54" s="28">
        <v>2014</v>
      </c>
      <c r="F54" s="26">
        <v>40646</v>
      </c>
      <c r="G54" s="26">
        <v>45376</v>
      </c>
      <c r="H54" s="26">
        <v>42361</v>
      </c>
      <c r="I54" s="26">
        <v>40517</v>
      </c>
      <c r="J54" s="26">
        <v>27397</v>
      </c>
      <c r="K54" s="26"/>
      <c r="L54" s="26"/>
      <c r="M54" s="26"/>
      <c r="N54" s="26"/>
      <c r="O54" s="26"/>
      <c r="P54" s="26"/>
      <c r="Q54" s="26"/>
      <c r="R54" s="18">
        <f t="shared" si="0"/>
        <v>196297</v>
      </c>
    </row>
    <row r="55" spans="1:18" s="2" customFormat="1" ht="15">
      <c r="A55" s="10" t="s">
        <v>89</v>
      </c>
      <c r="B55" s="9" t="s">
        <v>114</v>
      </c>
      <c r="C55" s="10" t="s">
        <v>115</v>
      </c>
      <c r="D55" s="4">
        <v>1.8</v>
      </c>
      <c r="E55" s="29">
        <v>2013</v>
      </c>
      <c r="F55" s="26">
        <v>5620</v>
      </c>
      <c r="G55" s="26">
        <v>3251</v>
      </c>
      <c r="H55" s="26">
        <v>3756</v>
      </c>
      <c r="I55" s="26">
        <v>5063</v>
      </c>
      <c r="J55" s="26">
        <v>1496</v>
      </c>
      <c r="K55" s="26"/>
      <c r="L55" s="26"/>
      <c r="M55" s="26"/>
      <c r="N55" s="26"/>
      <c r="O55" s="26"/>
      <c r="P55" s="26"/>
      <c r="Q55" s="26"/>
      <c r="R55" s="18">
        <f t="shared" si="0"/>
        <v>19186</v>
      </c>
    </row>
    <row r="56" spans="1:18" s="2" customFormat="1" ht="15">
      <c r="A56" s="10" t="s">
        <v>89</v>
      </c>
      <c r="B56" s="9" t="s">
        <v>116</v>
      </c>
      <c r="C56" s="10" t="s">
        <v>117</v>
      </c>
      <c r="D56" s="4">
        <v>11.94</v>
      </c>
      <c r="E56" s="29">
        <v>2014</v>
      </c>
      <c r="F56" s="26">
        <v>32811</v>
      </c>
      <c r="G56" s="26">
        <v>33458</v>
      </c>
      <c r="H56" s="26">
        <v>37158</v>
      </c>
      <c r="I56" s="26">
        <v>26331</v>
      </c>
      <c r="J56" s="26">
        <v>17761</v>
      </c>
      <c r="K56" s="26"/>
      <c r="L56" s="26"/>
      <c r="M56" s="26"/>
      <c r="N56" s="26"/>
      <c r="O56" s="26"/>
      <c r="P56" s="26"/>
      <c r="Q56" s="26"/>
      <c r="R56" s="18">
        <f t="shared" si="0"/>
        <v>147519</v>
      </c>
    </row>
    <row r="57" spans="1:18" s="2" customFormat="1" ht="15">
      <c r="A57" s="10" t="s">
        <v>89</v>
      </c>
      <c r="B57" s="9" t="s">
        <v>118</v>
      </c>
      <c r="C57" s="10" t="s">
        <v>119</v>
      </c>
      <c r="D57" s="4">
        <v>5.65</v>
      </c>
      <c r="E57" s="29">
        <v>2014</v>
      </c>
      <c r="F57" s="26">
        <v>12100</v>
      </c>
      <c r="G57" s="26">
        <v>12844</v>
      </c>
      <c r="H57" s="26">
        <v>10552</v>
      </c>
      <c r="I57" s="26">
        <v>12371</v>
      </c>
      <c r="J57" s="26">
        <v>6872</v>
      </c>
      <c r="K57" s="26"/>
      <c r="L57" s="26"/>
      <c r="M57" s="26"/>
      <c r="N57" s="26"/>
      <c r="O57" s="26"/>
      <c r="P57" s="26"/>
      <c r="Q57" s="26"/>
      <c r="R57" s="18">
        <f t="shared" si="0"/>
        <v>54739</v>
      </c>
    </row>
    <row r="58" spans="1:18" s="2" customFormat="1" ht="15">
      <c r="A58" s="10" t="s">
        <v>89</v>
      </c>
      <c r="B58" s="9" t="s">
        <v>120</v>
      </c>
      <c r="C58" s="10" t="s">
        <v>121</v>
      </c>
      <c r="D58" s="4">
        <v>14.5</v>
      </c>
      <c r="E58" s="29">
        <v>2013</v>
      </c>
      <c r="F58" s="26">
        <v>37888</v>
      </c>
      <c r="G58" s="26">
        <v>48665</v>
      </c>
      <c r="H58" s="26">
        <v>43159</v>
      </c>
      <c r="I58" s="26">
        <v>29028</v>
      </c>
      <c r="J58" s="26">
        <v>23687</v>
      </c>
      <c r="K58" s="26"/>
      <c r="L58" s="26"/>
      <c r="M58" s="26"/>
      <c r="N58" s="26"/>
      <c r="O58" s="26"/>
      <c r="P58" s="26"/>
      <c r="Q58" s="26"/>
      <c r="R58" s="18">
        <f t="shared" si="0"/>
        <v>182427</v>
      </c>
    </row>
    <row r="59" spans="1:18" s="2" customFormat="1" ht="15">
      <c r="A59" s="10" t="s">
        <v>89</v>
      </c>
      <c r="B59" s="9" t="s">
        <v>122</v>
      </c>
      <c r="C59" s="10" t="s">
        <v>123</v>
      </c>
      <c r="D59" s="4">
        <v>9.76</v>
      </c>
      <c r="E59" s="29">
        <v>2014</v>
      </c>
      <c r="F59" s="26">
        <v>16250</v>
      </c>
      <c r="G59" s="26">
        <v>18004</v>
      </c>
      <c r="H59" s="26">
        <v>16255</v>
      </c>
      <c r="I59" s="26">
        <v>12127</v>
      </c>
      <c r="J59" s="26">
        <v>16674</v>
      </c>
      <c r="K59" s="26"/>
      <c r="L59" s="26"/>
      <c r="M59" s="26"/>
      <c r="N59" s="26"/>
      <c r="O59" s="26"/>
      <c r="P59" s="26"/>
      <c r="Q59" s="26"/>
      <c r="R59" s="18">
        <f t="shared" si="0"/>
        <v>79310</v>
      </c>
    </row>
    <row r="60" spans="1:18" s="2" customFormat="1" ht="15">
      <c r="A60" s="10" t="s">
        <v>89</v>
      </c>
      <c r="B60" s="9" t="s">
        <v>124</v>
      </c>
      <c r="C60" s="10" t="s">
        <v>125</v>
      </c>
      <c r="D60" s="4">
        <v>11.17</v>
      </c>
      <c r="E60" s="29">
        <v>2013</v>
      </c>
      <c r="F60" s="26">
        <v>37580</v>
      </c>
      <c r="G60" s="26">
        <v>40651</v>
      </c>
      <c r="H60" s="26">
        <v>36958</v>
      </c>
      <c r="I60" s="26">
        <v>22939</v>
      </c>
      <c r="J60" s="26">
        <v>36828</v>
      </c>
      <c r="K60" s="26"/>
      <c r="L60" s="26"/>
      <c r="M60" s="26"/>
      <c r="N60" s="26"/>
      <c r="O60" s="26"/>
      <c r="P60" s="26"/>
      <c r="Q60" s="26"/>
      <c r="R60" s="18">
        <f t="shared" si="0"/>
        <v>174956</v>
      </c>
    </row>
    <row r="61" spans="1:18" s="2" customFormat="1" ht="15">
      <c r="A61" s="10" t="s">
        <v>89</v>
      </c>
      <c r="B61" s="9" t="s">
        <v>126</v>
      </c>
      <c r="C61" s="10" t="s">
        <v>127</v>
      </c>
      <c r="D61" s="4">
        <v>8.92</v>
      </c>
      <c r="E61" s="29">
        <v>2014</v>
      </c>
      <c r="F61" s="26">
        <v>19251</v>
      </c>
      <c r="G61" s="26">
        <v>19058</v>
      </c>
      <c r="H61" s="26">
        <v>15519</v>
      </c>
      <c r="I61" s="26">
        <v>14906</v>
      </c>
      <c r="J61" s="26">
        <v>18836</v>
      </c>
      <c r="K61" s="26"/>
      <c r="L61" s="26"/>
      <c r="M61" s="26"/>
      <c r="N61" s="26"/>
      <c r="O61" s="26"/>
      <c r="P61" s="26"/>
      <c r="Q61" s="26"/>
      <c r="R61" s="18">
        <f t="shared" si="0"/>
        <v>87570</v>
      </c>
    </row>
    <row r="62" spans="1:18" s="2" customFormat="1" ht="15">
      <c r="A62" s="10" t="s">
        <v>89</v>
      </c>
      <c r="B62" s="9" t="s">
        <v>128</v>
      </c>
      <c r="C62" s="10" t="s">
        <v>129</v>
      </c>
      <c r="D62" s="4">
        <v>11.39</v>
      </c>
      <c r="E62" s="29">
        <v>2013</v>
      </c>
      <c r="F62" s="26">
        <v>33452</v>
      </c>
      <c r="G62" s="26">
        <v>37064</v>
      </c>
      <c r="H62" s="26">
        <v>38253</v>
      </c>
      <c r="I62" s="26">
        <v>31246</v>
      </c>
      <c r="J62" s="26">
        <v>31463</v>
      </c>
      <c r="K62" s="26"/>
      <c r="L62" s="26"/>
      <c r="M62" s="26"/>
      <c r="N62" s="26"/>
      <c r="O62" s="26"/>
      <c r="P62" s="26"/>
      <c r="Q62" s="26"/>
      <c r="R62" s="18">
        <f t="shared" si="0"/>
        <v>171478</v>
      </c>
    </row>
    <row r="63" spans="1:18" s="2" customFormat="1" ht="15">
      <c r="A63" s="10" t="s">
        <v>89</v>
      </c>
      <c r="B63" s="9" t="s">
        <v>130</v>
      </c>
      <c r="C63" s="10" t="s">
        <v>131</v>
      </c>
      <c r="D63" s="4">
        <v>20.83</v>
      </c>
      <c r="E63" s="29">
        <v>2013</v>
      </c>
      <c r="F63" s="26">
        <v>60728</v>
      </c>
      <c r="G63" s="26">
        <v>71194</v>
      </c>
      <c r="H63" s="26">
        <v>48945</v>
      </c>
      <c r="I63" s="26">
        <v>51638</v>
      </c>
      <c r="J63" s="26">
        <v>56202</v>
      </c>
      <c r="K63" s="26"/>
      <c r="L63" s="26"/>
      <c r="M63" s="26"/>
      <c r="N63" s="26"/>
      <c r="O63" s="26"/>
      <c r="P63" s="26"/>
      <c r="Q63" s="26"/>
      <c r="R63" s="18">
        <f t="shared" si="0"/>
        <v>288707</v>
      </c>
    </row>
    <row r="64" spans="1:18" s="2" customFormat="1" ht="15">
      <c r="A64" s="10" t="s">
        <v>89</v>
      </c>
      <c r="B64" s="9" t="s">
        <v>132</v>
      </c>
      <c r="C64" s="10" t="s">
        <v>133</v>
      </c>
      <c r="D64" s="4">
        <v>22.01</v>
      </c>
      <c r="E64" s="29">
        <v>2013</v>
      </c>
      <c r="F64" s="26">
        <v>55502</v>
      </c>
      <c r="G64" s="26">
        <v>75783</v>
      </c>
      <c r="H64" s="26">
        <v>49070</v>
      </c>
      <c r="I64" s="26">
        <v>47743</v>
      </c>
      <c r="J64" s="26">
        <v>48702</v>
      </c>
      <c r="K64" s="26"/>
      <c r="L64" s="26"/>
      <c r="M64" s="26"/>
      <c r="N64" s="26"/>
      <c r="O64" s="26"/>
      <c r="P64" s="26"/>
      <c r="Q64" s="26"/>
      <c r="R64" s="18">
        <f t="shared" si="0"/>
        <v>276800</v>
      </c>
    </row>
    <row r="65" spans="1:18" s="2" customFormat="1" ht="15">
      <c r="A65" s="10" t="s">
        <v>89</v>
      </c>
      <c r="B65" s="9" t="s">
        <v>134</v>
      </c>
      <c r="C65" s="10" t="s">
        <v>135</v>
      </c>
      <c r="D65" s="4">
        <v>16.87</v>
      </c>
      <c r="E65" s="29">
        <v>2013</v>
      </c>
      <c r="F65" s="26">
        <v>34809</v>
      </c>
      <c r="G65" s="26">
        <v>50349</v>
      </c>
      <c r="H65" s="26">
        <v>31556</v>
      </c>
      <c r="I65" s="26">
        <v>33027</v>
      </c>
      <c r="J65" s="26">
        <v>34585</v>
      </c>
      <c r="K65" s="26"/>
      <c r="L65" s="26"/>
      <c r="M65" s="26"/>
      <c r="N65" s="26"/>
      <c r="O65" s="26"/>
      <c r="P65" s="26"/>
      <c r="Q65" s="26"/>
      <c r="R65" s="18">
        <f t="shared" si="0"/>
        <v>184326</v>
      </c>
    </row>
    <row r="66" spans="1:18" s="2" customFormat="1" ht="15">
      <c r="A66" s="10" t="s">
        <v>89</v>
      </c>
      <c r="B66" s="9" t="s">
        <v>136</v>
      </c>
      <c r="C66" s="10" t="s">
        <v>137</v>
      </c>
      <c r="D66" s="4">
        <v>14.05</v>
      </c>
      <c r="E66" s="29">
        <v>2014</v>
      </c>
      <c r="F66" s="26">
        <v>28176</v>
      </c>
      <c r="G66" s="26">
        <v>38011</v>
      </c>
      <c r="H66" s="26">
        <v>25345</v>
      </c>
      <c r="I66" s="26">
        <v>24904</v>
      </c>
      <c r="J66" s="26">
        <v>25333</v>
      </c>
      <c r="K66" s="26"/>
      <c r="L66" s="26"/>
      <c r="M66" s="26"/>
      <c r="N66" s="26"/>
      <c r="O66" s="26"/>
      <c r="P66" s="26"/>
      <c r="Q66" s="26"/>
      <c r="R66" s="18">
        <f t="shared" si="0"/>
        <v>141769</v>
      </c>
    </row>
    <row r="67" spans="1:18" s="2" customFormat="1" ht="15">
      <c r="A67" s="10" t="s">
        <v>89</v>
      </c>
      <c r="B67" s="9" t="s">
        <v>138</v>
      </c>
      <c r="C67" s="10" t="s">
        <v>139</v>
      </c>
      <c r="D67" s="4">
        <v>2.4500000000000002</v>
      </c>
      <c r="E67" s="29">
        <v>2013</v>
      </c>
      <c r="F67" s="26">
        <v>3630</v>
      </c>
      <c r="G67" s="26">
        <v>5708</v>
      </c>
      <c r="H67" s="26">
        <v>6429</v>
      </c>
      <c r="I67" s="26">
        <v>3372</v>
      </c>
      <c r="J67" s="26">
        <v>3673</v>
      </c>
      <c r="K67" s="26"/>
      <c r="L67" s="26"/>
      <c r="M67" s="26"/>
      <c r="N67" s="26"/>
      <c r="O67" s="26"/>
      <c r="P67" s="26"/>
      <c r="Q67" s="26"/>
      <c r="R67" s="18">
        <f t="shared" ref="R67:R130" si="1">SUM(F67:Q67)</f>
        <v>22812</v>
      </c>
    </row>
    <row r="68" spans="1:18" s="2" customFormat="1" ht="15">
      <c r="A68" s="10" t="s">
        <v>89</v>
      </c>
      <c r="B68" s="9" t="s">
        <v>140</v>
      </c>
      <c r="C68" s="10" t="s">
        <v>141</v>
      </c>
      <c r="D68" s="4">
        <v>11.43</v>
      </c>
      <c r="E68" s="28">
        <v>2014</v>
      </c>
      <c r="F68" s="26">
        <v>24287</v>
      </c>
      <c r="G68" s="26">
        <v>34856</v>
      </c>
      <c r="H68" s="26">
        <v>19280</v>
      </c>
      <c r="I68" s="26">
        <v>22149</v>
      </c>
      <c r="J68" s="26">
        <v>21606</v>
      </c>
      <c r="K68" s="26"/>
      <c r="L68" s="26"/>
      <c r="M68" s="26"/>
      <c r="N68" s="26"/>
      <c r="O68" s="26"/>
      <c r="P68" s="26"/>
      <c r="Q68" s="26"/>
      <c r="R68" s="18">
        <f t="shared" si="1"/>
        <v>122178</v>
      </c>
    </row>
    <row r="69" spans="1:18" s="2" customFormat="1" ht="15">
      <c r="A69" s="10" t="s">
        <v>89</v>
      </c>
      <c r="B69" s="9" t="s">
        <v>142</v>
      </c>
      <c r="C69" s="10" t="s">
        <v>143</v>
      </c>
      <c r="D69" s="4">
        <v>9.64</v>
      </c>
      <c r="E69" s="28">
        <v>2014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/>
      <c r="L69" s="26"/>
      <c r="M69" s="26"/>
      <c r="N69" s="26"/>
      <c r="O69" s="26"/>
      <c r="P69" s="26"/>
      <c r="Q69" s="26"/>
      <c r="R69" s="18">
        <f t="shared" si="1"/>
        <v>0</v>
      </c>
    </row>
    <row r="70" spans="1:18" s="2" customFormat="1" ht="15">
      <c r="A70" s="10" t="s">
        <v>89</v>
      </c>
      <c r="B70" s="9" t="s">
        <v>144</v>
      </c>
      <c r="C70" s="10" t="s">
        <v>145</v>
      </c>
      <c r="D70" s="4">
        <v>12.84</v>
      </c>
      <c r="E70" s="28">
        <v>2014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/>
      <c r="L70" s="26"/>
      <c r="M70" s="26"/>
      <c r="N70" s="26"/>
      <c r="O70" s="26"/>
      <c r="P70" s="26"/>
      <c r="Q70" s="26"/>
      <c r="R70" s="18">
        <f t="shared" si="1"/>
        <v>0</v>
      </c>
    </row>
    <row r="71" spans="1:18" s="2" customFormat="1" ht="15">
      <c r="A71" s="10" t="s">
        <v>89</v>
      </c>
      <c r="B71" s="9" t="s">
        <v>146</v>
      </c>
      <c r="C71" s="10" t="s">
        <v>147</v>
      </c>
      <c r="D71" s="4">
        <v>17.38</v>
      </c>
      <c r="E71" s="28">
        <v>2013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/>
      <c r="L71" s="26"/>
      <c r="M71" s="26"/>
      <c r="N71" s="26"/>
      <c r="O71" s="26"/>
      <c r="P71" s="26"/>
      <c r="Q71" s="26"/>
      <c r="R71" s="18">
        <f t="shared" si="1"/>
        <v>0</v>
      </c>
    </row>
    <row r="72" spans="1:18" s="2" customFormat="1" ht="15">
      <c r="A72" s="10" t="s">
        <v>89</v>
      </c>
      <c r="B72" s="9" t="s">
        <v>148</v>
      </c>
      <c r="C72" s="10" t="s">
        <v>149</v>
      </c>
      <c r="D72" s="4">
        <v>18.41</v>
      </c>
      <c r="E72" s="28">
        <v>2013</v>
      </c>
      <c r="F72" s="26">
        <v>22837</v>
      </c>
      <c r="G72" s="26">
        <v>23931</v>
      </c>
      <c r="H72" s="26">
        <v>27279</v>
      </c>
      <c r="I72" s="26">
        <v>18728</v>
      </c>
      <c r="J72" s="26">
        <v>20716</v>
      </c>
      <c r="K72" s="26"/>
      <c r="L72" s="26"/>
      <c r="M72" s="26"/>
      <c r="N72" s="26"/>
      <c r="O72" s="26"/>
      <c r="P72" s="26"/>
      <c r="Q72" s="26"/>
      <c r="R72" s="18">
        <f t="shared" si="1"/>
        <v>113491</v>
      </c>
    </row>
    <row r="73" spans="1:18" s="2" customFormat="1" ht="15">
      <c r="A73" s="10" t="s">
        <v>89</v>
      </c>
      <c r="B73" s="9" t="s">
        <v>150</v>
      </c>
      <c r="C73" s="10" t="s">
        <v>151</v>
      </c>
      <c r="D73" s="4">
        <v>14.5</v>
      </c>
      <c r="E73" s="28">
        <v>2013</v>
      </c>
      <c r="F73" s="26">
        <v>33848</v>
      </c>
      <c r="G73" s="26">
        <v>40774</v>
      </c>
      <c r="H73" s="26">
        <v>41510</v>
      </c>
      <c r="I73" s="26">
        <v>29561</v>
      </c>
      <c r="J73" s="26">
        <v>32545</v>
      </c>
      <c r="K73" s="26"/>
      <c r="L73" s="26"/>
      <c r="M73" s="26"/>
      <c r="N73" s="26"/>
      <c r="O73" s="26"/>
      <c r="P73" s="26"/>
      <c r="Q73" s="26"/>
      <c r="R73" s="18">
        <f t="shared" si="1"/>
        <v>178238</v>
      </c>
    </row>
    <row r="74" spans="1:18" s="2" customFormat="1" ht="15">
      <c r="A74" s="10" t="s">
        <v>89</v>
      </c>
      <c r="B74" s="9" t="s">
        <v>152</v>
      </c>
      <c r="C74" s="10" t="s">
        <v>153</v>
      </c>
      <c r="D74" s="4">
        <v>16.829999999999998</v>
      </c>
      <c r="E74" s="28">
        <v>2013</v>
      </c>
      <c r="F74" s="26">
        <v>39230</v>
      </c>
      <c r="G74" s="26">
        <v>43609</v>
      </c>
      <c r="H74" s="26">
        <v>43560</v>
      </c>
      <c r="I74" s="26">
        <v>28144</v>
      </c>
      <c r="J74" s="26">
        <v>33173</v>
      </c>
      <c r="K74" s="26"/>
      <c r="L74" s="26"/>
      <c r="M74" s="26"/>
      <c r="N74" s="26"/>
      <c r="O74" s="26"/>
      <c r="P74" s="26"/>
      <c r="Q74" s="26"/>
      <c r="R74" s="18">
        <f t="shared" si="1"/>
        <v>187716</v>
      </c>
    </row>
    <row r="75" spans="1:18" s="2" customFormat="1" ht="15">
      <c r="A75" s="10" t="s">
        <v>89</v>
      </c>
      <c r="B75" s="9" t="s">
        <v>154</v>
      </c>
      <c r="C75" s="10" t="s">
        <v>155</v>
      </c>
      <c r="D75" s="4">
        <v>16.510000000000002</v>
      </c>
      <c r="E75" s="28">
        <v>2014</v>
      </c>
      <c r="F75" s="26">
        <v>40622</v>
      </c>
      <c r="G75" s="26">
        <v>49509</v>
      </c>
      <c r="H75" s="26">
        <v>52526</v>
      </c>
      <c r="I75" s="26">
        <v>37273</v>
      </c>
      <c r="J75" s="26">
        <v>45979</v>
      </c>
      <c r="K75" s="26"/>
      <c r="L75" s="26"/>
      <c r="M75" s="26"/>
      <c r="N75" s="26"/>
      <c r="O75" s="26"/>
      <c r="P75" s="26"/>
      <c r="Q75" s="26"/>
      <c r="R75" s="18">
        <f t="shared" si="1"/>
        <v>225909</v>
      </c>
    </row>
    <row r="76" spans="1:18" s="2" customFormat="1" ht="15">
      <c r="A76" s="10" t="s">
        <v>89</v>
      </c>
      <c r="B76" s="9" t="s">
        <v>156</v>
      </c>
      <c r="C76" s="10" t="s">
        <v>157</v>
      </c>
      <c r="D76" s="4">
        <v>8.64</v>
      </c>
      <c r="E76" s="28">
        <v>2014</v>
      </c>
      <c r="F76" s="26">
        <v>15212</v>
      </c>
      <c r="G76" s="26">
        <v>19812</v>
      </c>
      <c r="H76" s="26">
        <v>21932</v>
      </c>
      <c r="I76" s="26">
        <v>16485</v>
      </c>
      <c r="J76" s="26">
        <v>21584</v>
      </c>
      <c r="K76" s="26"/>
      <c r="L76" s="26"/>
      <c r="M76" s="26"/>
      <c r="N76" s="26"/>
      <c r="O76" s="26"/>
      <c r="P76" s="26"/>
      <c r="Q76" s="26"/>
      <c r="R76" s="18">
        <f t="shared" si="1"/>
        <v>95025</v>
      </c>
    </row>
    <row r="77" spans="1:18" s="2" customFormat="1" ht="15">
      <c r="A77" s="10" t="s">
        <v>89</v>
      </c>
      <c r="B77" s="9" t="s">
        <v>158</v>
      </c>
      <c r="C77" s="10" t="s">
        <v>159</v>
      </c>
      <c r="D77" s="4">
        <v>15.15</v>
      </c>
      <c r="E77" s="28">
        <v>2014</v>
      </c>
      <c r="F77" s="26">
        <v>36716</v>
      </c>
      <c r="G77" s="26">
        <v>42147</v>
      </c>
      <c r="H77" s="26">
        <v>51721</v>
      </c>
      <c r="I77" s="26">
        <v>35287</v>
      </c>
      <c r="J77" s="26">
        <v>49514</v>
      </c>
      <c r="K77" s="26"/>
      <c r="L77" s="26"/>
      <c r="M77" s="26"/>
      <c r="N77" s="26"/>
      <c r="O77" s="26"/>
      <c r="P77" s="26"/>
      <c r="Q77" s="26"/>
      <c r="R77" s="18">
        <f t="shared" si="1"/>
        <v>215385</v>
      </c>
    </row>
    <row r="78" spans="1:18" s="2" customFormat="1" ht="15">
      <c r="A78" s="10" t="s">
        <v>89</v>
      </c>
      <c r="B78" s="9" t="s">
        <v>160</v>
      </c>
      <c r="C78" s="10" t="s">
        <v>161</v>
      </c>
      <c r="D78" s="4">
        <v>21.97</v>
      </c>
      <c r="E78" s="28">
        <v>2014</v>
      </c>
      <c r="F78" s="26">
        <v>43097</v>
      </c>
      <c r="G78" s="26">
        <v>51219</v>
      </c>
      <c r="H78" s="26">
        <v>61225</v>
      </c>
      <c r="I78" s="26">
        <v>46079</v>
      </c>
      <c r="J78" s="26">
        <v>61225</v>
      </c>
      <c r="K78" s="26"/>
      <c r="L78" s="26"/>
      <c r="M78" s="26"/>
      <c r="N78" s="26"/>
      <c r="O78" s="26"/>
      <c r="P78" s="26"/>
      <c r="Q78" s="26"/>
      <c r="R78" s="18">
        <f t="shared" si="1"/>
        <v>262845</v>
      </c>
    </row>
    <row r="79" spans="1:18" s="2" customFormat="1" ht="15">
      <c r="A79" s="10" t="s">
        <v>89</v>
      </c>
      <c r="B79" s="9" t="s">
        <v>162</v>
      </c>
      <c r="C79" s="10" t="s">
        <v>163</v>
      </c>
      <c r="D79" s="4">
        <v>18.100000000000001</v>
      </c>
      <c r="E79" s="28">
        <v>2014</v>
      </c>
      <c r="F79" s="26">
        <v>32110</v>
      </c>
      <c r="G79" s="26">
        <v>39088</v>
      </c>
      <c r="H79" s="26">
        <v>44513</v>
      </c>
      <c r="I79" s="26">
        <v>39017</v>
      </c>
      <c r="J79" s="26">
        <v>39799</v>
      </c>
      <c r="K79" s="26"/>
      <c r="L79" s="26"/>
      <c r="M79" s="26"/>
      <c r="N79" s="26"/>
      <c r="O79" s="26"/>
      <c r="P79" s="26"/>
      <c r="Q79" s="26"/>
      <c r="R79" s="18">
        <f t="shared" si="1"/>
        <v>194527</v>
      </c>
    </row>
    <row r="80" spans="1:18" s="2" customFormat="1" ht="15">
      <c r="A80" s="10" t="s">
        <v>89</v>
      </c>
      <c r="B80" s="9" t="s">
        <v>164</v>
      </c>
      <c r="C80" s="10" t="s">
        <v>165</v>
      </c>
      <c r="D80" s="4">
        <v>20.149999999999999</v>
      </c>
      <c r="E80" s="28">
        <v>2014</v>
      </c>
      <c r="F80" s="26">
        <v>40762</v>
      </c>
      <c r="G80" s="26">
        <v>44106</v>
      </c>
      <c r="H80" s="26">
        <v>53436</v>
      </c>
      <c r="I80" s="26">
        <v>49460</v>
      </c>
      <c r="J80" s="26">
        <v>34283</v>
      </c>
      <c r="K80" s="26"/>
      <c r="L80" s="26"/>
      <c r="M80" s="26"/>
      <c r="N80" s="26"/>
      <c r="O80" s="26"/>
      <c r="P80" s="26"/>
      <c r="Q80" s="26"/>
      <c r="R80" s="18">
        <f t="shared" si="1"/>
        <v>222047</v>
      </c>
    </row>
    <row r="81" spans="1:18" s="2" customFormat="1" ht="15">
      <c r="A81" s="10" t="s">
        <v>89</v>
      </c>
      <c r="B81" s="9" t="s">
        <v>166</v>
      </c>
      <c r="C81" s="10" t="s">
        <v>167</v>
      </c>
      <c r="D81" s="4">
        <v>20.3</v>
      </c>
      <c r="E81" s="28">
        <v>2014</v>
      </c>
      <c r="F81" s="26">
        <v>37915</v>
      </c>
      <c r="G81" s="26">
        <v>43292</v>
      </c>
      <c r="H81" s="26">
        <v>47462</v>
      </c>
      <c r="I81" s="26">
        <v>43509</v>
      </c>
      <c r="J81" s="26">
        <v>32730</v>
      </c>
      <c r="K81" s="26"/>
      <c r="L81" s="26"/>
      <c r="M81" s="26"/>
      <c r="N81" s="26"/>
      <c r="O81" s="26"/>
      <c r="P81" s="26"/>
      <c r="Q81" s="26"/>
      <c r="R81" s="18">
        <f t="shared" si="1"/>
        <v>204908</v>
      </c>
    </row>
    <row r="82" spans="1:18" s="2" customFormat="1" ht="15">
      <c r="A82" s="10" t="s">
        <v>89</v>
      </c>
      <c r="B82" s="9" t="s">
        <v>168</v>
      </c>
      <c r="C82" s="10" t="s">
        <v>169</v>
      </c>
      <c r="D82" s="4">
        <v>16.600000000000001</v>
      </c>
      <c r="E82" s="28">
        <v>2014</v>
      </c>
      <c r="F82" s="26">
        <v>35218</v>
      </c>
      <c r="G82" s="26">
        <v>45789</v>
      </c>
      <c r="H82" s="26">
        <v>37605</v>
      </c>
      <c r="I82" s="26">
        <v>38506</v>
      </c>
      <c r="J82" s="26">
        <v>29485</v>
      </c>
      <c r="K82" s="26"/>
      <c r="L82" s="26"/>
      <c r="M82" s="26"/>
      <c r="N82" s="26"/>
      <c r="O82" s="26"/>
      <c r="P82" s="26"/>
      <c r="Q82" s="26"/>
      <c r="R82" s="18">
        <f t="shared" si="1"/>
        <v>186603</v>
      </c>
    </row>
    <row r="83" spans="1:18" s="2" customFormat="1" ht="15">
      <c r="A83" s="10" t="s">
        <v>89</v>
      </c>
      <c r="B83" s="9" t="s">
        <v>170</v>
      </c>
      <c r="C83" s="10" t="s">
        <v>171</v>
      </c>
      <c r="D83" s="4">
        <v>11.94</v>
      </c>
      <c r="E83" s="28">
        <v>2014</v>
      </c>
      <c r="F83" s="26">
        <v>19657</v>
      </c>
      <c r="G83" s="26">
        <v>27687</v>
      </c>
      <c r="H83" s="26">
        <v>20235</v>
      </c>
      <c r="I83" s="26">
        <v>24533</v>
      </c>
      <c r="J83" s="26">
        <v>19075</v>
      </c>
      <c r="K83" s="26"/>
      <c r="L83" s="26"/>
      <c r="M83" s="26"/>
      <c r="N83" s="26"/>
      <c r="O83" s="26"/>
      <c r="P83" s="26"/>
      <c r="Q83" s="26"/>
      <c r="R83" s="18">
        <f t="shared" si="1"/>
        <v>111187</v>
      </c>
    </row>
    <row r="84" spans="1:18" s="2" customFormat="1" ht="15">
      <c r="A84" s="10" t="s">
        <v>89</v>
      </c>
      <c r="B84" s="9" t="s">
        <v>172</v>
      </c>
      <c r="C84" s="10" t="s">
        <v>173</v>
      </c>
      <c r="D84" s="4">
        <v>14.6</v>
      </c>
      <c r="E84" s="28">
        <v>2014</v>
      </c>
      <c r="F84" s="26">
        <v>27877</v>
      </c>
      <c r="G84" s="26">
        <v>41093</v>
      </c>
      <c r="H84" s="26">
        <v>27402</v>
      </c>
      <c r="I84" s="26">
        <v>32373</v>
      </c>
      <c r="J84" s="26">
        <v>26100</v>
      </c>
      <c r="K84" s="26"/>
      <c r="L84" s="26"/>
      <c r="M84" s="26"/>
      <c r="N84" s="26"/>
      <c r="O84" s="26"/>
      <c r="P84" s="26"/>
      <c r="Q84" s="26"/>
      <c r="R84" s="18">
        <f t="shared" si="1"/>
        <v>154845</v>
      </c>
    </row>
    <row r="85" spans="1:18" s="2" customFormat="1" ht="15">
      <c r="A85" s="10" t="s">
        <v>89</v>
      </c>
      <c r="B85" s="9" t="s">
        <v>174</v>
      </c>
      <c r="C85" s="10" t="s">
        <v>175</v>
      </c>
      <c r="D85" s="4">
        <v>1.4</v>
      </c>
      <c r="E85" s="28">
        <v>2014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/>
      <c r="L85" s="26"/>
      <c r="M85" s="26"/>
      <c r="N85" s="26"/>
      <c r="O85" s="26"/>
      <c r="P85" s="26"/>
      <c r="Q85" s="26"/>
      <c r="R85" s="18">
        <f t="shared" si="1"/>
        <v>0</v>
      </c>
    </row>
    <row r="86" spans="1:18" s="2" customFormat="1" ht="15">
      <c r="A86" s="10" t="s">
        <v>89</v>
      </c>
      <c r="B86" s="9" t="s">
        <v>176</v>
      </c>
      <c r="C86" s="10" t="s">
        <v>177</v>
      </c>
      <c r="D86" s="4">
        <v>13.72</v>
      </c>
      <c r="E86" s="28">
        <v>2014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/>
      <c r="L86" s="26"/>
      <c r="M86" s="26"/>
      <c r="N86" s="26"/>
      <c r="O86" s="26"/>
      <c r="P86" s="26"/>
      <c r="Q86" s="26"/>
      <c r="R86" s="18">
        <f t="shared" si="1"/>
        <v>0</v>
      </c>
    </row>
    <row r="87" spans="1:18" s="2" customFormat="1" ht="15">
      <c r="A87" s="10" t="s">
        <v>89</v>
      </c>
      <c r="B87" s="9" t="s">
        <v>178</v>
      </c>
      <c r="C87" s="10" t="s">
        <v>179</v>
      </c>
      <c r="D87" s="4">
        <v>11.31</v>
      </c>
      <c r="E87" s="28">
        <v>2014</v>
      </c>
      <c r="F87" s="26">
        <v>22461</v>
      </c>
      <c r="G87" s="26">
        <v>24855</v>
      </c>
      <c r="H87" s="26">
        <v>24868</v>
      </c>
      <c r="I87" s="26">
        <v>16170</v>
      </c>
      <c r="J87" s="26">
        <v>17412</v>
      </c>
      <c r="K87" s="26"/>
      <c r="L87" s="26"/>
      <c r="M87" s="26"/>
      <c r="N87" s="26"/>
      <c r="O87" s="26"/>
      <c r="P87" s="26"/>
      <c r="Q87" s="26"/>
      <c r="R87" s="18">
        <f t="shared" si="1"/>
        <v>105766</v>
      </c>
    </row>
    <row r="88" spans="1:18" s="2" customFormat="1" ht="15">
      <c r="A88" s="10" t="s">
        <v>89</v>
      </c>
      <c r="B88" s="9" t="s">
        <v>180</v>
      </c>
      <c r="C88" s="10" t="s">
        <v>181</v>
      </c>
      <c r="D88" s="4">
        <v>10.47</v>
      </c>
      <c r="E88" s="28">
        <v>2014</v>
      </c>
      <c r="F88" s="26">
        <v>20989</v>
      </c>
      <c r="G88" s="26">
        <v>22877</v>
      </c>
      <c r="H88" s="26">
        <v>24107</v>
      </c>
      <c r="I88" s="26">
        <v>17168</v>
      </c>
      <c r="J88" s="26">
        <v>20636</v>
      </c>
      <c r="K88" s="26"/>
      <c r="L88" s="26"/>
      <c r="M88" s="26"/>
      <c r="N88" s="26"/>
      <c r="O88" s="26"/>
      <c r="P88" s="26"/>
      <c r="Q88" s="26"/>
      <c r="R88" s="18">
        <f t="shared" si="1"/>
        <v>105777</v>
      </c>
    </row>
    <row r="89" spans="1:18" s="2" customFormat="1" ht="15">
      <c r="A89" s="10" t="s">
        <v>89</v>
      </c>
      <c r="B89" s="9" t="s">
        <v>182</v>
      </c>
      <c r="C89" s="10" t="s">
        <v>183</v>
      </c>
      <c r="D89" s="4">
        <v>10.39</v>
      </c>
      <c r="E89" s="28">
        <v>2014</v>
      </c>
      <c r="F89" s="26">
        <v>21509</v>
      </c>
      <c r="G89" s="26">
        <v>25937</v>
      </c>
      <c r="H89" s="26">
        <v>25096</v>
      </c>
      <c r="I89" s="26">
        <v>17462</v>
      </c>
      <c r="J89" s="26">
        <v>20992</v>
      </c>
      <c r="K89" s="26"/>
      <c r="L89" s="26"/>
      <c r="M89" s="26"/>
      <c r="N89" s="26"/>
      <c r="O89" s="26"/>
      <c r="P89" s="26"/>
      <c r="Q89" s="26"/>
      <c r="R89" s="18">
        <f t="shared" si="1"/>
        <v>110996</v>
      </c>
    </row>
    <row r="90" spans="1:18" s="2" customFormat="1" ht="15">
      <c r="A90" s="10" t="s">
        <v>89</v>
      </c>
      <c r="B90" s="9" t="s">
        <v>184</v>
      </c>
      <c r="C90" s="10" t="s">
        <v>185</v>
      </c>
      <c r="D90" s="4">
        <v>6.47</v>
      </c>
      <c r="E90" s="28">
        <v>2014</v>
      </c>
      <c r="F90" s="26">
        <v>10394</v>
      </c>
      <c r="G90" s="26">
        <v>11548</v>
      </c>
      <c r="H90" s="26">
        <v>12158</v>
      </c>
      <c r="I90" s="26">
        <v>9356</v>
      </c>
      <c r="J90" s="26">
        <v>10175</v>
      </c>
      <c r="K90" s="26"/>
      <c r="L90" s="26"/>
      <c r="M90" s="26"/>
      <c r="N90" s="26"/>
      <c r="O90" s="26"/>
      <c r="P90" s="26"/>
      <c r="Q90" s="26"/>
      <c r="R90" s="18">
        <f t="shared" si="1"/>
        <v>53631</v>
      </c>
    </row>
    <row r="91" spans="1:18" s="2" customFormat="1" ht="15">
      <c r="A91" s="10" t="s">
        <v>89</v>
      </c>
      <c r="B91" s="9" t="s">
        <v>186</v>
      </c>
      <c r="C91" s="10" t="s">
        <v>187</v>
      </c>
      <c r="D91" s="4">
        <v>7.45</v>
      </c>
      <c r="E91" s="28">
        <v>2014</v>
      </c>
      <c r="F91" s="26">
        <v>14385</v>
      </c>
      <c r="G91" s="26">
        <v>15803</v>
      </c>
      <c r="H91" s="26">
        <v>12773</v>
      </c>
      <c r="I91" s="26">
        <v>16554</v>
      </c>
      <c r="J91" s="26">
        <v>13122</v>
      </c>
      <c r="K91" s="26"/>
      <c r="L91" s="26"/>
      <c r="M91" s="26"/>
      <c r="N91" s="26"/>
      <c r="O91" s="26"/>
      <c r="P91" s="26"/>
      <c r="Q91" s="26"/>
      <c r="R91" s="18">
        <f t="shared" si="1"/>
        <v>72637</v>
      </c>
    </row>
    <row r="92" spans="1:18" s="2" customFormat="1" ht="15">
      <c r="A92" s="10" t="s">
        <v>89</v>
      </c>
      <c r="B92" s="9" t="s">
        <v>188</v>
      </c>
      <c r="C92" s="10" t="s">
        <v>189</v>
      </c>
      <c r="D92" s="4">
        <v>13.09</v>
      </c>
      <c r="E92" s="28">
        <v>2014</v>
      </c>
      <c r="F92" s="26">
        <v>29095</v>
      </c>
      <c r="G92" s="26">
        <v>33116</v>
      </c>
      <c r="H92" s="26">
        <v>23482</v>
      </c>
      <c r="I92" s="26">
        <v>28693</v>
      </c>
      <c r="J92" s="26">
        <v>22323</v>
      </c>
      <c r="K92" s="26"/>
      <c r="L92" s="26"/>
      <c r="M92" s="26"/>
      <c r="N92" s="26"/>
      <c r="O92" s="26"/>
      <c r="P92" s="26"/>
      <c r="Q92" s="26"/>
      <c r="R92" s="18">
        <f t="shared" si="1"/>
        <v>136709</v>
      </c>
    </row>
    <row r="93" spans="1:18" s="2" customFormat="1" ht="15">
      <c r="A93" s="10" t="s">
        <v>89</v>
      </c>
      <c r="B93" s="9" t="s">
        <v>190</v>
      </c>
      <c r="C93" s="10" t="s">
        <v>191</v>
      </c>
      <c r="D93" s="4">
        <v>15.33</v>
      </c>
      <c r="E93" s="28">
        <v>2014</v>
      </c>
      <c r="F93" s="26">
        <v>31232</v>
      </c>
      <c r="G93" s="26">
        <v>35088</v>
      </c>
      <c r="H93" s="26">
        <v>28424</v>
      </c>
      <c r="I93" s="26">
        <v>33168</v>
      </c>
      <c r="J93" s="26">
        <v>24747</v>
      </c>
      <c r="K93" s="26"/>
      <c r="L93" s="26"/>
      <c r="M93" s="26"/>
      <c r="N93" s="26"/>
      <c r="O93" s="26"/>
      <c r="P93" s="26"/>
      <c r="Q93" s="26"/>
      <c r="R93" s="18">
        <f t="shared" si="1"/>
        <v>152659</v>
      </c>
    </row>
    <row r="94" spans="1:18" s="2" customFormat="1" ht="15">
      <c r="A94" s="10" t="s">
        <v>89</v>
      </c>
      <c r="B94" s="9" t="s">
        <v>192</v>
      </c>
      <c r="C94" s="10" t="s">
        <v>193</v>
      </c>
      <c r="D94" s="4">
        <v>11.8</v>
      </c>
      <c r="E94" s="28">
        <v>2014</v>
      </c>
      <c r="F94" s="26">
        <v>27350</v>
      </c>
      <c r="G94" s="26">
        <v>29954</v>
      </c>
      <c r="H94" s="26">
        <v>23087</v>
      </c>
      <c r="I94" s="26">
        <v>28152</v>
      </c>
      <c r="J94" s="26">
        <v>21985</v>
      </c>
      <c r="K94" s="26"/>
      <c r="L94" s="26"/>
      <c r="M94" s="26"/>
      <c r="N94" s="26"/>
      <c r="O94" s="26"/>
      <c r="P94" s="26"/>
      <c r="Q94" s="26"/>
      <c r="R94" s="18">
        <f t="shared" si="1"/>
        <v>130528</v>
      </c>
    </row>
    <row r="95" spans="1:18" s="2" customFormat="1" ht="15">
      <c r="A95" s="10" t="s">
        <v>89</v>
      </c>
      <c r="B95" s="9" t="s">
        <v>194</v>
      </c>
      <c r="C95" s="10" t="s">
        <v>195</v>
      </c>
      <c r="D95" s="4">
        <v>14.29</v>
      </c>
      <c r="E95" s="28">
        <v>2014</v>
      </c>
      <c r="F95" s="26">
        <v>27036</v>
      </c>
      <c r="G95" s="26">
        <v>34500</v>
      </c>
      <c r="H95" s="26">
        <v>24610</v>
      </c>
      <c r="I95" s="26">
        <v>28956</v>
      </c>
      <c r="J95" s="26">
        <v>23749</v>
      </c>
      <c r="K95" s="26"/>
      <c r="L95" s="26"/>
      <c r="M95" s="26"/>
      <c r="N95" s="26"/>
      <c r="O95" s="26"/>
      <c r="P95" s="26"/>
      <c r="Q95" s="26"/>
      <c r="R95" s="18">
        <f t="shared" si="1"/>
        <v>138851</v>
      </c>
    </row>
    <row r="96" spans="1:18" s="2" customFormat="1" ht="15">
      <c r="A96" s="10" t="s">
        <v>89</v>
      </c>
      <c r="B96" s="9">
        <v>193</v>
      </c>
      <c r="C96" s="10" t="s">
        <v>196</v>
      </c>
      <c r="D96" s="4">
        <v>1.96</v>
      </c>
      <c r="E96" s="28">
        <v>2014</v>
      </c>
      <c r="F96" s="26">
        <v>1981</v>
      </c>
      <c r="G96" s="26">
        <v>1759</v>
      </c>
      <c r="H96" s="26">
        <v>2121</v>
      </c>
      <c r="I96" s="26">
        <v>2304</v>
      </c>
      <c r="J96" s="26">
        <v>1244</v>
      </c>
      <c r="K96" s="26"/>
      <c r="L96" s="26"/>
      <c r="M96" s="26"/>
      <c r="N96" s="26"/>
      <c r="O96" s="26"/>
      <c r="P96" s="26"/>
      <c r="Q96" s="26"/>
      <c r="R96" s="18">
        <f t="shared" si="1"/>
        <v>9409</v>
      </c>
    </row>
    <row r="97" spans="1:18" s="2" customFormat="1" ht="15">
      <c r="A97" s="10" t="s">
        <v>89</v>
      </c>
      <c r="B97" s="9">
        <v>243</v>
      </c>
      <c r="C97" s="10" t="s">
        <v>197</v>
      </c>
      <c r="D97" s="4">
        <v>1.24</v>
      </c>
      <c r="E97" s="28">
        <v>2015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/>
      <c r="L97" s="26"/>
      <c r="M97" s="26"/>
      <c r="N97" s="26"/>
      <c r="O97" s="26"/>
      <c r="P97" s="26"/>
      <c r="Q97" s="26"/>
      <c r="R97" s="18">
        <f t="shared" si="1"/>
        <v>0</v>
      </c>
    </row>
    <row r="98" spans="1:18" s="2" customFormat="1" ht="15">
      <c r="A98" s="10" t="s">
        <v>89</v>
      </c>
      <c r="B98" s="9" t="s">
        <v>198</v>
      </c>
      <c r="C98" s="10" t="s">
        <v>199</v>
      </c>
      <c r="D98" s="4">
        <v>18.91</v>
      </c>
      <c r="E98" s="28">
        <v>2013</v>
      </c>
      <c r="F98" s="26">
        <v>47089</v>
      </c>
      <c r="G98" s="26">
        <v>54334</v>
      </c>
      <c r="H98" s="26">
        <v>54102</v>
      </c>
      <c r="I98" s="26">
        <v>45100</v>
      </c>
      <c r="J98" s="26">
        <v>41563</v>
      </c>
      <c r="K98" s="26"/>
      <c r="L98" s="26"/>
      <c r="M98" s="26"/>
      <c r="N98" s="26"/>
      <c r="O98" s="26"/>
      <c r="P98" s="26"/>
      <c r="Q98" s="26"/>
      <c r="R98" s="18">
        <f t="shared" si="1"/>
        <v>242188</v>
      </c>
    </row>
    <row r="99" spans="1:18" s="2" customFormat="1" ht="15">
      <c r="A99" s="10" t="s">
        <v>89</v>
      </c>
      <c r="B99" s="9" t="s">
        <v>200</v>
      </c>
      <c r="C99" s="10" t="s">
        <v>201</v>
      </c>
      <c r="D99" s="4">
        <v>22.69</v>
      </c>
      <c r="E99" s="28">
        <v>2014</v>
      </c>
      <c r="F99" s="26">
        <v>49251</v>
      </c>
      <c r="G99" s="26">
        <v>54326</v>
      </c>
      <c r="H99" s="26">
        <v>53519</v>
      </c>
      <c r="I99" s="26">
        <v>39037</v>
      </c>
      <c r="J99" s="26">
        <v>41866</v>
      </c>
      <c r="K99" s="26"/>
      <c r="L99" s="26"/>
      <c r="M99" s="26"/>
      <c r="N99" s="26"/>
      <c r="O99" s="26"/>
      <c r="P99" s="26"/>
      <c r="Q99" s="26"/>
      <c r="R99" s="18">
        <f t="shared" si="1"/>
        <v>237999</v>
      </c>
    </row>
    <row r="100" spans="1:18" s="2" customFormat="1" ht="15">
      <c r="A100" s="10" t="s">
        <v>89</v>
      </c>
      <c r="B100" s="9" t="s">
        <v>202</v>
      </c>
      <c r="C100" s="10" t="s">
        <v>203</v>
      </c>
      <c r="D100" s="4">
        <v>21.85</v>
      </c>
      <c r="E100" s="28">
        <v>2014</v>
      </c>
      <c r="F100" s="26">
        <v>46012</v>
      </c>
      <c r="G100" s="26">
        <v>59369</v>
      </c>
      <c r="H100" s="26">
        <v>39480</v>
      </c>
      <c r="I100" s="26">
        <v>43282</v>
      </c>
      <c r="J100" s="26">
        <v>32954</v>
      </c>
      <c r="K100" s="26"/>
      <c r="L100" s="26"/>
      <c r="M100" s="26"/>
      <c r="N100" s="26"/>
      <c r="O100" s="26"/>
      <c r="P100" s="26"/>
      <c r="Q100" s="26"/>
      <c r="R100" s="18">
        <f t="shared" si="1"/>
        <v>221097</v>
      </c>
    </row>
    <row r="101" spans="1:18" s="2" customFormat="1" ht="15">
      <c r="A101" s="10" t="s">
        <v>89</v>
      </c>
      <c r="B101" s="9" t="s">
        <v>204</v>
      </c>
      <c r="C101" s="10" t="s">
        <v>205</v>
      </c>
      <c r="D101" s="4">
        <v>22.27</v>
      </c>
      <c r="E101" s="28">
        <v>2014</v>
      </c>
      <c r="F101" s="26">
        <v>35785</v>
      </c>
      <c r="G101" s="26">
        <v>49773</v>
      </c>
      <c r="H101" s="26">
        <v>32870</v>
      </c>
      <c r="I101" s="26">
        <v>39998</v>
      </c>
      <c r="J101" s="26">
        <v>31844</v>
      </c>
      <c r="K101" s="26"/>
      <c r="L101" s="26"/>
      <c r="M101" s="26"/>
      <c r="N101" s="26"/>
      <c r="O101" s="26"/>
      <c r="P101" s="26"/>
      <c r="Q101" s="26"/>
      <c r="R101" s="18">
        <f t="shared" si="1"/>
        <v>190270</v>
      </c>
    </row>
    <row r="102" spans="1:18" s="2" customFormat="1" ht="15">
      <c r="A102" s="10" t="s">
        <v>89</v>
      </c>
      <c r="B102" s="9">
        <v>276</v>
      </c>
      <c r="C102" s="10" t="s">
        <v>109</v>
      </c>
      <c r="D102" s="4">
        <v>0.95</v>
      </c>
      <c r="E102" s="28">
        <v>2022</v>
      </c>
      <c r="F102" s="26">
        <v>1097</v>
      </c>
      <c r="G102" s="26">
        <v>1780</v>
      </c>
      <c r="H102" s="26">
        <v>1551</v>
      </c>
      <c r="I102" s="26">
        <v>1783</v>
      </c>
      <c r="J102" s="26">
        <v>1355</v>
      </c>
      <c r="K102" s="26"/>
      <c r="L102" s="26"/>
      <c r="M102" s="26"/>
      <c r="N102" s="26"/>
      <c r="O102" s="26"/>
      <c r="P102" s="26"/>
      <c r="Q102" s="26"/>
      <c r="R102" s="18">
        <f t="shared" si="1"/>
        <v>7566</v>
      </c>
    </row>
    <row r="103" spans="1:18" s="2" customFormat="1" ht="15">
      <c r="A103" s="10" t="s">
        <v>89</v>
      </c>
      <c r="B103" s="9">
        <v>293</v>
      </c>
      <c r="C103" s="10" t="s">
        <v>196</v>
      </c>
      <c r="D103" s="4">
        <v>3.57</v>
      </c>
      <c r="E103" s="28">
        <v>2022</v>
      </c>
      <c r="F103" s="26">
        <v>4387</v>
      </c>
      <c r="G103" s="26">
        <v>5238</v>
      </c>
      <c r="H103" s="26">
        <v>6073</v>
      </c>
      <c r="I103" s="26">
        <v>5679</v>
      </c>
      <c r="J103" s="26">
        <v>4654</v>
      </c>
      <c r="K103" s="26"/>
      <c r="L103" s="26"/>
      <c r="M103" s="26"/>
      <c r="N103" s="26"/>
      <c r="O103" s="26"/>
      <c r="P103" s="26"/>
      <c r="Q103" s="26"/>
      <c r="R103" s="18">
        <f t="shared" si="1"/>
        <v>26031</v>
      </c>
    </row>
    <row r="104" spans="1:18" s="2" customFormat="1" ht="15">
      <c r="A104" s="10" t="s">
        <v>206</v>
      </c>
      <c r="B104" s="9" t="s">
        <v>207</v>
      </c>
      <c r="C104" s="10" t="s">
        <v>208</v>
      </c>
      <c r="D104" s="4">
        <v>20.9</v>
      </c>
      <c r="E104" s="28">
        <v>2014</v>
      </c>
      <c r="F104" s="26">
        <v>40381</v>
      </c>
      <c r="G104" s="26">
        <v>46664</v>
      </c>
      <c r="H104" s="26">
        <v>42403</v>
      </c>
      <c r="I104" s="26">
        <v>37052</v>
      </c>
      <c r="J104" s="26">
        <v>34498</v>
      </c>
      <c r="K104" s="26"/>
      <c r="L104" s="26"/>
      <c r="M104" s="26"/>
      <c r="N104" s="26"/>
      <c r="O104" s="26"/>
      <c r="P104" s="26"/>
      <c r="Q104" s="26"/>
      <c r="R104" s="18">
        <f t="shared" si="1"/>
        <v>200998</v>
      </c>
    </row>
    <row r="105" spans="1:18" s="2" customFormat="1" ht="15">
      <c r="A105" s="10" t="s">
        <v>206</v>
      </c>
      <c r="B105" s="9" t="s">
        <v>209</v>
      </c>
      <c r="C105" s="10" t="s">
        <v>210</v>
      </c>
      <c r="D105" s="4">
        <v>21.54</v>
      </c>
      <c r="E105" s="28">
        <v>2014</v>
      </c>
      <c r="F105" s="26">
        <v>43008</v>
      </c>
      <c r="G105" s="26">
        <v>43267</v>
      </c>
      <c r="H105" s="26">
        <v>47184</v>
      </c>
      <c r="I105" s="26">
        <v>36911</v>
      </c>
      <c r="J105" s="26">
        <v>33071</v>
      </c>
      <c r="K105" s="26"/>
      <c r="L105" s="26"/>
      <c r="M105" s="26"/>
      <c r="N105" s="26"/>
      <c r="O105" s="26"/>
      <c r="P105" s="26"/>
      <c r="Q105" s="26"/>
      <c r="R105" s="18">
        <f t="shared" si="1"/>
        <v>203441</v>
      </c>
    </row>
    <row r="106" spans="1:18" s="2" customFormat="1" ht="15">
      <c r="A106" s="10" t="s">
        <v>206</v>
      </c>
      <c r="B106" s="9" t="s">
        <v>211</v>
      </c>
      <c r="C106" s="10" t="s">
        <v>212</v>
      </c>
      <c r="D106" s="4">
        <v>20.18</v>
      </c>
      <c r="E106" s="28">
        <v>2014</v>
      </c>
      <c r="F106" s="26">
        <v>48071</v>
      </c>
      <c r="G106" s="26">
        <v>47808</v>
      </c>
      <c r="H106" s="26">
        <v>51165</v>
      </c>
      <c r="I106" s="26">
        <v>31861</v>
      </c>
      <c r="J106" s="26">
        <v>33180</v>
      </c>
      <c r="K106" s="26"/>
      <c r="L106" s="26"/>
      <c r="M106" s="26"/>
      <c r="N106" s="26"/>
      <c r="O106" s="26"/>
      <c r="P106" s="26"/>
      <c r="Q106" s="26"/>
      <c r="R106" s="18">
        <f t="shared" si="1"/>
        <v>212085</v>
      </c>
    </row>
    <row r="107" spans="1:18" s="2" customFormat="1" ht="15">
      <c r="A107" s="10" t="s">
        <v>206</v>
      </c>
      <c r="B107" s="9" t="s">
        <v>213</v>
      </c>
      <c r="C107" s="10" t="s">
        <v>214</v>
      </c>
      <c r="D107" s="4">
        <v>13.33</v>
      </c>
      <c r="E107" s="28">
        <v>2014</v>
      </c>
      <c r="F107" s="26">
        <v>24968</v>
      </c>
      <c r="G107" s="26">
        <v>26901</v>
      </c>
      <c r="H107" s="26">
        <v>32015</v>
      </c>
      <c r="I107" s="26">
        <v>20395</v>
      </c>
      <c r="J107" s="26">
        <v>21006</v>
      </c>
      <c r="K107" s="26"/>
      <c r="L107" s="26"/>
      <c r="M107" s="26"/>
      <c r="N107" s="26"/>
      <c r="O107" s="26"/>
      <c r="P107" s="26"/>
      <c r="Q107" s="26"/>
      <c r="R107" s="18">
        <f t="shared" si="1"/>
        <v>125285</v>
      </c>
    </row>
    <row r="108" spans="1:18" s="2" customFormat="1" ht="15">
      <c r="A108" s="10" t="s">
        <v>206</v>
      </c>
      <c r="B108" s="9" t="s">
        <v>215</v>
      </c>
      <c r="C108" s="10" t="s">
        <v>216</v>
      </c>
      <c r="D108" s="4">
        <v>11.13</v>
      </c>
      <c r="E108" s="28">
        <v>2014</v>
      </c>
      <c r="F108" s="26">
        <v>27613</v>
      </c>
      <c r="G108" s="26">
        <v>27218</v>
      </c>
      <c r="H108" s="26">
        <v>27135</v>
      </c>
      <c r="I108" s="26">
        <v>21469</v>
      </c>
      <c r="J108" s="26">
        <v>16205</v>
      </c>
      <c r="K108" s="26"/>
      <c r="L108" s="26"/>
      <c r="M108" s="26"/>
      <c r="N108" s="26"/>
      <c r="O108" s="26"/>
      <c r="P108" s="26"/>
      <c r="Q108" s="26"/>
      <c r="R108" s="18">
        <f t="shared" si="1"/>
        <v>119640</v>
      </c>
    </row>
    <row r="109" spans="1:18" s="2" customFormat="1" ht="15">
      <c r="A109" s="10" t="s">
        <v>206</v>
      </c>
      <c r="B109" s="9" t="s">
        <v>217</v>
      </c>
      <c r="C109" s="10" t="s">
        <v>218</v>
      </c>
      <c r="D109" s="4">
        <v>5.13</v>
      </c>
      <c r="E109" s="29">
        <v>2014</v>
      </c>
      <c r="F109" s="26">
        <v>11811</v>
      </c>
      <c r="G109" s="26">
        <v>13262</v>
      </c>
      <c r="H109" s="26">
        <v>12115</v>
      </c>
      <c r="I109" s="26">
        <v>9012</v>
      </c>
      <c r="J109" s="26">
        <v>7695</v>
      </c>
      <c r="K109" s="26"/>
      <c r="L109" s="26"/>
      <c r="M109" s="26"/>
      <c r="N109" s="26"/>
      <c r="O109" s="26"/>
      <c r="P109" s="26"/>
      <c r="Q109" s="26"/>
      <c r="R109" s="18">
        <f t="shared" si="1"/>
        <v>53895</v>
      </c>
    </row>
    <row r="110" spans="1:18" s="2" customFormat="1" ht="15">
      <c r="A110" s="10" t="s">
        <v>206</v>
      </c>
      <c r="B110" s="9" t="s">
        <v>219</v>
      </c>
      <c r="C110" s="10" t="s">
        <v>220</v>
      </c>
      <c r="D110" s="4">
        <v>7.8</v>
      </c>
      <c r="E110" s="29">
        <v>2014</v>
      </c>
      <c r="F110" s="26">
        <v>18022</v>
      </c>
      <c r="G110" s="26">
        <v>18725</v>
      </c>
      <c r="H110" s="26">
        <v>22247</v>
      </c>
      <c r="I110" s="26">
        <v>12247</v>
      </c>
      <c r="J110" s="26">
        <v>15247</v>
      </c>
      <c r="K110" s="26"/>
      <c r="L110" s="26"/>
      <c r="M110" s="26"/>
      <c r="N110" s="26"/>
      <c r="O110" s="26"/>
      <c r="P110" s="26"/>
      <c r="Q110" s="26"/>
      <c r="R110" s="18">
        <f t="shared" si="1"/>
        <v>86488</v>
      </c>
    </row>
    <row r="111" spans="1:18" s="2" customFormat="1" ht="15">
      <c r="A111" s="10" t="s">
        <v>206</v>
      </c>
      <c r="B111" s="9" t="s">
        <v>221</v>
      </c>
      <c r="C111" s="10" t="s">
        <v>222</v>
      </c>
      <c r="D111" s="4">
        <v>1.92</v>
      </c>
      <c r="E111" s="29">
        <v>2014</v>
      </c>
      <c r="F111" s="26">
        <v>4887</v>
      </c>
      <c r="G111" s="26">
        <v>5887</v>
      </c>
      <c r="H111" s="26">
        <v>4838</v>
      </c>
      <c r="I111" s="26">
        <v>3618</v>
      </c>
      <c r="J111" s="26">
        <v>4317</v>
      </c>
      <c r="K111" s="26"/>
      <c r="L111" s="26"/>
      <c r="M111" s="26"/>
      <c r="N111" s="26"/>
      <c r="O111" s="26"/>
      <c r="P111" s="26"/>
      <c r="Q111" s="26"/>
      <c r="R111" s="18">
        <f t="shared" si="1"/>
        <v>23547</v>
      </c>
    </row>
    <row r="112" spans="1:18" s="2" customFormat="1" ht="15">
      <c r="A112" s="10" t="s">
        <v>206</v>
      </c>
      <c r="B112" s="9" t="s">
        <v>223</v>
      </c>
      <c r="C112" s="10" t="s">
        <v>224</v>
      </c>
      <c r="D112" s="4">
        <v>18.62</v>
      </c>
      <c r="E112" s="29">
        <v>2013</v>
      </c>
      <c r="F112" s="26">
        <v>46557</v>
      </c>
      <c r="G112" s="26">
        <v>58378</v>
      </c>
      <c r="H112" s="26">
        <v>46326</v>
      </c>
      <c r="I112" s="26">
        <v>37349</v>
      </c>
      <c r="J112" s="26">
        <v>36753</v>
      </c>
      <c r="K112" s="26"/>
      <c r="L112" s="26"/>
      <c r="M112" s="26"/>
      <c r="N112" s="26"/>
      <c r="O112" s="26"/>
      <c r="P112" s="26"/>
      <c r="Q112" s="26"/>
      <c r="R112" s="18">
        <f t="shared" si="1"/>
        <v>225363</v>
      </c>
    </row>
    <row r="113" spans="1:18" s="2" customFormat="1" ht="15">
      <c r="A113" s="10" t="s">
        <v>206</v>
      </c>
      <c r="B113" s="9" t="s">
        <v>225</v>
      </c>
      <c r="C113" s="10" t="s">
        <v>226</v>
      </c>
      <c r="D113" s="4">
        <v>19.079999999999998</v>
      </c>
      <c r="E113" s="29">
        <v>2013</v>
      </c>
      <c r="F113" s="26">
        <v>47407</v>
      </c>
      <c r="G113" s="26">
        <v>59848</v>
      </c>
      <c r="H113" s="26">
        <v>47804</v>
      </c>
      <c r="I113" s="26">
        <v>35053</v>
      </c>
      <c r="J113" s="26">
        <v>35773</v>
      </c>
      <c r="K113" s="26"/>
      <c r="L113" s="26"/>
      <c r="M113" s="26"/>
      <c r="N113" s="26"/>
      <c r="O113" s="26"/>
      <c r="P113" s="26"/>
      <c r="Q113" s="26"/>
      <c r="R113" s="18">
        <f t="shared" si="1"/>
        <v>225885</v>
      </c>
    </row>
    <row r="114" spans="1:18" s="2" customFormat="1" ht="15">
      <c r="A114" s="10" t="s">
        <v>206</v>
      </c>
      <c r="B114" s="9" t="s">
        <v>227</v>
      </c>
      <c r="C114" s="10" t="s">
        <v>228</v>
      </c>
      <c r="D114" s="4">
        <v>18.29</v>
      </c>
      <c r="E114" s="29">
        <v>2013</v>
      </c>
      <c r="F114" s="26">
        <v>45510</v>
      </c>
      <c r="G114" s="26">
        <v>58846</v>
      </c>
      <c r="H114" s="26">
        <v>40982</v>
      </c>
      <c r="I114" s="26">
        <v>28487</v>
      </c>
      <c r="J114" s="26">
        <v>31253</v>
      </c>
      <c r="K114" s="26"/>
      <c r="L114" s="26"/>
      <c r="M114" s="26"/>
      <c r="N114" s="26"/>
      <c r="O114" s="26"/>
      <c r="P114" s="26"/>
      <c r="Q114" s="26"/>
      <c r="R114" s="18">
        <f t="shared" si="1"/>
        <v>205078</v>
      </c>
    </row>
    <row r="115" spans="1:18" s="2" customFormat="1" ht="15">
      <c r="A115" s="10" t="s">
        <v>206</v>
      </c>
      <c r="B115" s="9" t="s">
        <v>229</v>
      </c>
      <c r="C115" s="10" t="s">
        <v>230</v>
      </c>
      <c r="D115" s="4">
        <v>20.73</v>
      </c>
      <c r="E115" s="29">
        <v>2013</v>
      </c>
      <c r="F115" s="26">
        <v>40886</v>
      </c>
      <c r="G115" s="26">
        <v>62378</v>
      </c>
      <c r="H115" s="26">
        <v>42274</v>
      </c>
      <c r="I115" s="26">
        <v>33798</v>
      </c>
      <c r="J115" s="26">
        <v>33074</v>
      </c>
      <c r="K115" s="26"/>
      <c r="L115" s="26"/>
      <c r="M115" s="26"/>
      <c r="N115" s="26"/>
      <c r="O115" s="26"/>
      <c r="P115" s="26"/>
      <c r="Q115" s="26"/>
      <c r="R115" s="18">
        <f t="shared" si="1"/>
        <v>212410</v>
      </c>
    </row>
    <row r="116" spans="1:18" s="2" customFormat="1" ht="15">
      <c r="A116" s="10" t="s">
        <v>206</v>
      </c>
      <c r="B116" s="9" t="s">
        <v>231</v>
      </c>
      <c r="C116" s="10" t="s">
        <v>232</v>
      </c>
      <c r="D116" s="4">
        <v>19.010000000000002</v>
      </c>
      <c r="E116" s="29">
        <v>2013</v>
      </c>
      <c r="F116" s="26">
        <v>36136</v>
      </c>
      <c r="G116" s="26">
        <v>49377</v>
      </c>
      <c r="H116" s="26">
        <v>34215</v>
      </c>
      <c r="I116" s="26">
        <v>31610</v>
      </c>
      <c r="J116" s="26">
        <v>31137</v>
      </c>
      <c r="K116" s="26"/>
      <c r="L116" s="26"/>
      <c r="M116" s="26"/>
      <c r="N116" s="26"/>
      <c r="O116" s="26"/>
      <c r="P116" s="26"/>
      <c r="Q116" s="26"/>
      <c r="R116" s="18">
        <f t="shared" si="1"/>
        <v>182475</v>
      </c>
    </row>
    <row r="117" spans="1:18" s="2" customFormat="1" ht="15">
      <c r="A117" s="10" t="s">
        <v>206</v>
      </c>
      <c r="B117" s="9" t="s">
        <v>233</v>
      </c>
      <c r="C117" s="10" t="s">
        <v>234</v>
      </c>
      <c r="D117" s="4">
        <v>29.59</v>
      </c>
      <c r="E117" s="29">
        <v>2013</v>
      </c>
      <c r="F117" s="26">
        <v>51416</v>
      </c>
      <c r="G117" s="26">
        <v>75880</v>
      </c>
      <c r="H117" s="26">
        <v>50827</v>
      </c>
      <c r="I117" s="26">
        <v>41641</v>
      </c>
      <c r="J117" s="26">
        <v>42460</v>
      </c>
      <c r="K117" s="26"/>
      <c r="L117" s="26"/>
      <c r="M117" s="26"/>
      <c r="N117" s="26"/>
      <c r="O117" s="26"/>
      <c r="P117" s="26"/>
      <c r="Q117" s="26"/>
      <c r="R117" s="18">
        <f t="shared" si="1"/>
        <v>262224</v>
      </c>
    </row>
    <row r="118" spans="1:18" s="2" customFormat="1" ht="15">
      <c r="A118" s="10" t="s">
        <v>206</v>
      </c>
      <c r="B118" s="9" t="s">
        <v>235</v>
      </c>
      <c r="C118" s="10" t="s">
        <v>236</v>
      </c>
      <c r="D118" s="4">
        <v>29.75</v>
      </c>
      <c r="E118" s="29">
        <v>2014</v>
      </c>
      <c r="F118" s="26">
        <v>48290</v>
      </c>
      <c r="G118" s="26">
        <v>70199</v>
      </c>
      <c r="H118" s="26">
        <v>33724</v>
      </c>
      <c r="I118" s="26">
        <v>59173</v>
      </c>
      <c r="J118" s="26">
        <v>36136</v>
      </c>
      <c r="K118" s="26"/>
      <c r="L118" s="26"/>
      <c r="M118" s="26"/>
      <c r="N118" s="26"/>
      <c r="O118" s="26"/>
      <c r="P118" s="26"/>
      <c r="Q118" s="26"/>
      <c r="R118" s="18">
        <f t="shared" si="1"/>
        <v>247522</v>
      </c>
    </row>
    <row r="119" spans="1:18" s="2" customFormat="1" ht="15">
      <c r="A119" s="10" t="s">
        <v>206</v>
      </c>
      <c r="B119" s="9" t="s">
        <v>237</v>
      </c>
      <c r="C119" s="10" t="s">
        <v>238</v>
      </c>
      <c r="D119" s="4">
        <v>27.53</v>
      </c>
      <c r="E119" s="29">
        <v>2014</v>
      </c>
      <c r="F119" s="26">
        <v>51293</v>
      </c>
      <c r="G119" s="26">
        <v>50551</v>
      </c>
      <c r="H119" s="26">
        <v>56275</v>
      </c>
      <c r="I119" s="26">
        <v>57932</v>
      </c>
      <c r="J119" s="26">
        <v>38215</v>
      </c>
      <c r="K119" s="26"/>
      <c r="L119" s="26"/>
      <c r="M119" s="26"/>
      <c r="N119" s="26"/>
      <c r="O119" s="26"/>
      <c r="P119" s="26"/>
      <c r="Q119" s="26"/>
      <c r="R119" s="18">
        <f t="shared" si="1"/>
        <v>254266</v>
      </c>
    </row>
    <row r="120" spans="1:18" s="2" customFormat="1" ht="15">
      <c r="A120" s="10" t="s">
        <v>206</v>
      </c>
      <c r="B120" s="9" t="s">
        <v>239</v>
      </c>
      <c r="C120" s="10" t="s">
        <v>240</v>
      </c>
      <c r="D120" s="4">
        <v>2.5499999999999998</v>
      </c>
      <c r="E120" s="29">
        <v>2013</v>
      </c>
      <c r="F120" s="26">
        <v>5767</v>
      </c>
      <c r="G120" s="26">
        <v>7888</v>
      </c>
      <c r="H120" s="26">
        <v>5470</v>
      </c>
      <c r="I120" s="26">
        <v>4718</v>
      </c>
      <c r="J120" s="26">
        <v>3684</v>
      </c>
      <c r="K120" s="26"/>
      <c r="L120" s="26"/>
      <c r="M120" s="26"/>
      <c r="N120" s="26"/>
      <c r="O120" s="26"/>
      <c r="P120" s="26"/>
      <c r="Q120" s="26"/>
      <c r="R120" s="18">
        <f t="shared" si="1"/>
        <v>27527</v>
      </c>
    </row>
    <row r="121" spans="1:18" s="2" customFormat="1" ht="15">
      <c r="A121" s="10" t="s">
        <v>206</v>
      </c>
      <c r="B121" s="9" t="s">
        <v>241</v>
      </c>
      <c r="C121" s="10" t="s">
        <v>242</v>
      </c>
      <c r="D121" s="4">
        <v>17.64</v>
      </c>
      <c r="E121" s="29">
        <v>2014</v>
      </c>
      <c r="F121" s="26">
        <v>34988</v>
      </c>
      <c r="G121" s="26">
        <v>44853</v>
      </c>
      <c r="H121" s="26">
        <v>38483</v>
      </c>
      <c r="I121" s="26">
        <v>32576</v>
      </c>
      <c r="J121" s="26">
        <v>18253</v>
      </c>
      <c r="K121" s="26"/>
      <c r="L121" s="26"/>
      <c r="M121" s="26"/>
      <c r="N121" s="26"/>
      <c r="O121" s="26"/>
      <c r="P121" s="26"/>
      <c r="Q121" s="26"/>
      <c r="R121" s="18">
        <f t="shared" si="1"/>
        <v>169153</v>
      </c>
    </row>
    <row r="122" spans="1:18" s="2" customFormat="1" ht="15">
      <c r="A122" s="10" t="s">
        <v>206</v>
      </c>
      <c r="B122" s="9" t="s">
        <v>243</v>
      </c>
      <c r="C122" s="10" t="s">
        <v>244</v>
      </c>
      <c r="D122" s="4">
        <v>3.81</v>
      </c>
      <c r="E122" s="29">
        <v>2013</v>
      </c>
      <c r="F122" s="26">
        <v>5282</v>
      </c>
      <c r="G122" s="26">
        <v>7516</v>
      </c>
      <c r="H122" s="26">
        <v>6109</v>
      </c>
      <c r="I122" s="26">
        <v>6799</v>
      </c>
      <c r="J122" s="26">
        <v>4728</v>
      </c>
      <c r="K122" s="26"/>
      <c r="L122" s="26"/>
      <c r="M122" s="26"/>
      <c r="N122" s="26"/>
      <c r="O122" s="26"/>
      <c r="P122" s="26"/>
      <c r="Q122" s="26"/>
      <c r="R122" s="18">
        <f t="shared" si="1"/>
        <v>30434</v>
      </c>
    </row>
    <row r="123" spans="1:18" s="2" customFormat="1" ht="15">
      <c r="A123" s="10" t="s">
        <v>206</v>
      </c>
      <c r="B123" s="9" t="s">
        <v>245</v>
      </c>
      <c r="C123" s="10" t="s">
        <v>246</v>
      </c>
      <c r="D123" s="4">
        <v>15.59</v>
      </c>
      <c r="E123" s="28">
        <v>2014</v>
      </c>
      <c r="F123" s="26">
        <v>33827</v>
      </c>
      <c r="G123" s="26">
        <v>39899</v>
      </c>
      <c r="H123" s="26">
        <v>39586</v>
      </c>
      <c r="I123" s="26">
        <v>31086</v>
      </c>
      <c r="J123" s="26">
        <v>18485</v>
      </c>
      <c r="K123" s="26"/>
      <c r="L123" s="26"/>
      <c r="M123" s="26"/>
      <c r="N123" s="26"/>
      <c r="O123" s="26"/>
      <c r="P123" s="26"/>
      <c r="Q123" s="26"/>
      <c r="R123" s="18">
        <f t="shared" si="1"/>
        <v>162883</v>
      </c>
    </row>
    <row r="124" spans="1:18" s="2" customFormat="1" ht="15">
      <c r="A124" s="10" t="s">
        <v>206</v>
      </c>
      <c r="B124" s="9" t="s">
        <v>247</v>
      </c>
      <c r="C124" s="10" t="s">
        <v>248</v>
      </c>
      <c r="D124" s="4">
        <v>19.12</v>
      </c>
      <c r="E124" s="28">
        <v>2014</v>
      </c>
      <c r="F124" s="26">
        <v>41390</v>
      </c>
      <c r="G124" s="26">
        <v>42705</v>
      </c>
      <c r="H124" s="26">
        <v>41982</v>
      </c>
      <c r="I124" s="26">
        <v>37387</v>
      </c>
      <c r="J124" s="26">
        <v>19766</v>
      </c>
      <c r="K124" s="26"/>
      <c r="L124" s="26"/>
      <c r="M124" s="26"/>
      <c r="N124" s="26"/>
      <c r="O124" s="26"/>
      <c r="P124" s="26"/>
      <c r="Q124" s="26"/>
      <c r="R124" s="18">
        <f t="shared" si="1"/>
        <v>183230</v>
      </c>
    </row>
    <row r="125" spans="1:18" s="2" customFormat="1" ht="15">
      <c r="A125" s="10" t="s">
        <v>206</v>
      </c>
      <c r="B125" s="9" t="s">
        <v>249</v>
      </c>
      <c r="C125" s="10" t="s">
        <v>250</v>
      </c>
      <c r="D125" s="4">
        <v>22.93</v>
      </c>
      <c r="E125" s="28">
        <v>2013</v>
      </c>
      <c r="F125" s="26">
        <v>64895</v>
      </c>
      <c r="G125" s="26">
        <v>49154</v>
      </c>
      <c r="H125" s="26">
        <v>57480</v>
      </c>
      <c r="I125" s="26">
        <v>46918</v>
      </c>
      <c r="J125" s="26">
        <v>29597</v>
      </c>
      <c r="K125" s="26"/>
      <c r="L125" s="26"/>
      <c r="M125" s="26"/>
      <c r="N125" s="26"/>
      <c r="O125" s="26"/>
      <c r="P125" s="26"/>
      <c r="Q125" s="26"/>
      <c r="R125" s="18">
        <f t="shared" si="1"/>
        <v>248044</v>
      </c>
    </row>
    <row r="126" spans="1:18" s="2" customFormat="1" ht="15">
      <c r="A126" s="10" t="s">
        <v>206</v>
      </c>
      <c r="B126" s="9" t="s">
        <v>251</v>
      </c>
      <c r="C126" s="10" t="s">
        <v>252</v>
      </c>
      <c r="D126" s="4">
        <v>20.34</v>
      </c>
      <c r="E126" s="28">
        <v>2013</v>
      </c>
      <c r="F126" s="26">
        <v>60128</v>
      </c>
      <c r="G126" s="26">
        <v>43870</v>
      </c>
      <c r="H126" s="26">
        <v>51491</v>
      </c>
      <c r="I126" s="26">
        <v>44185</v>
      </c>
      <c r="J126" s="26">
        <v>30097</v>
      </c>
      <c r="K126" s="26"/>
      <c r="L126" s="26"/>
      <c r="M126" s="26"/>
      <c r="N126" s="26"/>
      <c r="O126" s="26"/>
      <c r="P126" s="26"/>
      <c r="Q126" s="26"/>
      <c r="R126" s="18">
        <f t="shared" si="1"/>
        <v>229771</v>
      </c>
    </row>
    <row r="127" spans="1:18" s="2" customFormat="1" ht="15">
      <c r="A127" s="10" t="s">
        <v>206</v>
      </c>
      <c r="B127" s="9" t="s">
        <v>253</v>
      </c>
      <c r="C127" s="10" t="s">
        <v>254</v>
      </c>
      <c r="D127" s="4">
        <v>19.87</v>
      </c>
      <c r="E127" s="29">
        <v>2014</v>
      </c>
      <c r="F127" s="26">
        <v>43180</v>
      </c>
      <c r="G127" s="26">
        <v>32873</v>
      </c>
      <c r="H127" s="26">
        <v>38879</v>
      </c>
      <c r="I127" s="26">
        <v>33103</v>
      </c>
      <c r="J127" s="26">
        <v>22632</v>
      </c>
      <c r="K127" s="26"/>
      <c r="L127" s="26"/>
      <c r="M127" s="26"/>
      <c r="N127" s="26"/>
      <c r="O127" s="26"/>
      <c r="P127" s="26"/>
      <c r="Q127" s="26"/>
      <c r="R127" s="18">
        <f t="shared" si="1"/>
        <v>170667</v>
      </c>
    </row>
    <row r="128" spans="1:18" s="2" customFormat="1" ht="15">
      <c r="A128" s="10" t="s">
        <v>206</v>
      </c>
      <c r="B128" s="9" t="s">
        <v>255</v>
      </c>
      <c r="C128" s="10" t="s">
        <v>256</v>
      </c>
      <c r="D128" s="4">
        <v>21.37</v>
      </c>
      <c r="E128" s="29">
        <v>2014</v>
      </c>
      <c r="F128" s="26">
        <v>43931</v>
      </c>
      <c r="G128" s="26">
        <v>37211</v>
      </c>
      <c r="H128" s="26">
        <v>47654</v>
      </c>
      <c r="I128" s="26">
        <v>42030</v>
      </c>
      <c r="J128" s="26">
        <v>25855</v>
      </c>
      <c r="K128" s="26"/>
      <c r="L128" s="26"/>
      <c r="M128" s="26"/>
      <c r="N128" s="26"/>
      <c r="O128" s="26"/>
      <c r="P128" s="26"/>
      <c r="Q128" s="26"/>
      <c r="R128" s="18">
        <f t="shared" si="1"/>
        <v>196681</v>
      </c>
    </row>
    <row r="129" spans="1:18" s="2" customFormat="1" ht="15">
      <c r="A129" s="10" t="s">
        <v>206</v>
      </c>
      <c r="B129" s="9" t="s">
        <v>257</v>
      </c>
      <c r="C129" s="10" t="s">
        <v>258</v>
      </c>
      <c r="D129" s="4">
        <v>21.08</v>
      </c>
      <c r="E129" s="28">
        <v>2014</v>
      </c>
      <c r="F129" s="26">
        <v>42589</v>
      </c>
      <c r="G129" s="26">
        <v>30168</v>
      </c>
      <c r="H129" s="26">
        <v>35324</v>
      </c>
      <c r="I129" s="26">
        <v>35821</v>
      </c>
      <c r="J129" s="26">
        <v>21133</v>
      </c>
      <c r="K129" s="26"/>
      <c r="L129" s="26"/>
      <c r="M129" s="26"/>
      <c r="N129" s="26"/>
      <c r="O129" s="26"/>
      <c r="P129" s="26"/>
      <c r="Q129" s="26"/>
      <c r="R129" s="18">
        <f t="shared" si="1"/>
        <v>165035</v>
      </c>
    </row>
    <row r="130" spans="1:18" s="2" customFormat="1" ht="15">
      <c r="A130" s="10" t="s">
        <v>206</v>
      </c>
      <c r="B130" s="9" t="s">
        <v>259</v>
      </c>
      <c r="C130" s="10" t="s">
        <v>260</v>
      </c>
      <c r="D130" s="4">
        <v>20.48</v>
      </c>
      <c r="E130" s="29">
        <v>2014</v>
      </c>
      <c r="F130" s="26">
        <v>47933</v>
      </c>
      <c r="G130" s="26">
        <v>37482</v>
      </c>
      <c r="H130" s="26">
        <v>43140</v>
      </c>
      <c r="I130" s="26">
        <v>42084</v>
      </c>
      <c r="J130" s="26">
        <v>29713</v>
      </c>
      <c r="K130" s="26"/>
      <c r="L130" s="26"/>
      <c r="M130" s="26"/>
      <c r="N130" s="26"/>
      <c r="O130" s="26"/>
      <c r="P130" s="26"/>
      <c r="Q130" s="26"/>
      <c r="R130" s="18">
        <f t="shared" si="1"/>
        <v>200352</v>
      </c>
    </row>
    <row r="131" spans="1:18" s="2" customFormat="1" ht="15">
      <c r="A131" s="10" t="s">
        <v>206</v>
      </c>
      <c r="B131" s="9" t="s">
        <v>261</v>
      </c>
      <c r="C131" s="10" t="s">
        <v>262</v>
      </c>
      <c r="D131" s="4">
        <v>18.84</v>
      </c>
      <c r="E131" s="29">
        <v>2014</v>
      </c>
      <c r="F131" s="26">
        <v>46446</v>
      </c>
      <c r="G131" s="26">
        <v>43506</v>
      </c>
      <c r="H131" s="26">
        <v>49078</v>
      </c>
      <c r="I131" s="26">
        <v>30244</v>
      </c>
      <c r="J131" s="26">
        <v>27541</v>
      </c>
      <c r="K131" s="26"/>
      <c r="L131" s="26"/>
      <c r="M131" s="26"/>
      <c r="N131" s="26"/>
      <c r="O131" s="26"/>
      <c r="P131" s="26"/>
      <c r="Q131" s="26"/>
      <c r="R131" s="18">
        <f t="shared" ref="R131:R194" si="2">SUM(F131:Q131)</f>
        <v>196815</v>
      </c>
    </row>
    <row r="132" spans="1:18" s="2" customFormat="1" ht="15">
      <c r="A132" s="10" t="s">
        <v>206</v>
      </c>
      <c r="B132" s="9" t="s">
        <v>263</v>
      </c>
      <c r="C132" s="10" t="s">
        <v>264</v>
      </c>
      <c r="D132" s="4">
        <v>18.350000000000001</v>
      </c>
      <c r="E132" s="29">
        <v>2014</v>
      </c>
      <c r="F132" s="26">
        <v>44492</v>
      </c>
      <c r="G132" s="26">
        <v>38467</v>
      </c>
      <c r="H132" s="26">
        <v>45863</v>
      </c>
      <c r="I132" s="26">
        <v>23206</v>
      </c>
      <c r="J132" s="26">
        <v>22726</v>
      </c>
      <c r="K132" s="26"/>
      <c r="L132" s="26"/>
      <c r="M132" s="26"/>
      <c r="N132" s="26"/>
      <c r="O132" s="26"/>
      <c r="P132" s="26"/>
      <c r="Q132" s="26"/>
      <c r="R132" s="18">
        <f t="shared" si="2"/>
        <v>174754</v>
      </c>
    </row>
    <row r="133" spans="1:18" s="2" customFormat="1" ht="15">
      <c r="A133" s="10" t="s">
        <v>206</v>
      </c>
      <c r="B133" s="9" t="s">
        <v>265</v>
      </c>
      <c r="C133" s="10" t="s">
        <v>266</v>
      </c>
      <c r="D133" s="4">
        <v>18.25</v>
      </c>
      <c r="E133" s="29">
        <v>2014</v>
      </c>
      <c r="F133" s="26">
        <v>50455</v>
      </c>
      <c r="G133" s="26">
        <v>50774</v>
      </c>
      <c r="H133" s="26">
        <v>31980</v>
      </c>
      <c r="I133" s="26">
        <v>27492</v>
      </c>
      <c r="J133" s="26">
        <v>27375</v>
      </c>
      <c r="K133" s="26"/>
      <c r="L133" s="26"/>
      <c r="M133" s="26"/>
      <c r="N133" s="26"/>
      <c r="O133" s="26"/>
      <c r="P133" s="26"/>
      <c r="Q133" s="26"/>
      <c r="R133" s="18">
        <f t="shared" si="2"/>
        <v>188076</v>
      </c>
    </row>
    <row r="134" spans="1:18" s="2" customFormat="1" ht="15">
      <c r="A134" s="10" t="s">
        <v>206</v>
      </c>
      <c r="B134" s="9" t="s">
        <v>267</v>
      </c>
      <c r="C134" s="10" t="s">
        <v>268</v>
      </c>
      <c r="D134" s="4">
        <v>5</v>
      </c>
      <c r="E134" s="29">
        <v>2014</v>
      </c>
      <c r="F134" s="26">
        <v>7247</v>
      </c>
      <c r="G134" s="26">
        <v>13853</v>
      </c>
      <c r="H134" s="26">
        <v>6072</v>
      </c>
      <c r="I134" s="26">
        <v>6646</v>
      </c>
      <c r="J134" s="26">
        <v>12051</v>
      </c>
      <c r="K134" s="26"/>
      <c r="L134" s="26"/>
      <c r="M134" s="26"/>
      <c r="N134" s="26"/>
      <c r="O134" s="26"/>
      <c r="P134" s="26"/>
      <c r="Q134" s="26"/>
      <c r="R134" s="18">
        <f t="shared" si="2"/>
        <v>45869</v>
      </c>
    </row>
    <row r="135" spans="1:18" s="2" customFormat="1" ht="15">
      <c r="A135" s="10" t="s">
        <v>206</v>
      </c>
      <c r="B135" s="9" t="s">
        <v>269</v>
      </c>
      <c r="C135" s="10" t="s">
        <v>268</v>
      </c>
      <c r="D135" s="4">
        <v>17.38</v>
      </c>
      <c r="E135" s="29">
        <v>2013</v>
      </c>
      <c r="F135" s="26">
        <v>27948</v>
      </c>
      <c r="G135" s="26">
        <v>48426</v>
      </c>
      <c r="H135" s="26">
        <v>27342</v>
      </c>
      <c r="I135" s="26">
        <v>26503</v>
      </c>
      <c r="J135" s="26">
        <v>32099</v>
      </c>
      <c r="K135" s="26"/>
      <c r="L135" s="26"/>
      <c r="M135" s="26"/>
      <c r="N135" s="26"/>
      <c r="O135" s="26"/>
      <c r="P135" s="26"/>
      <c r="Q135" s="26"/>
      <c r="R135" s="18">
        <f t="shared" si="2"/>
        <v>162318</v>
      </c>
    </row>
    <row r="136" spans="1:18" s="2" customFormat="1" ht="15">
      <c r="A136" s="10" t="s">
        <v>206</v>
      </c>
      <c r="B136" s="9" t="s">
        <v>270</v>
      </c>
      <c r="C136" s="10" t="s">
        <v>271</v>
      </c>
      <c r="D136" s="4">
        <v>10.6</v>
      </c>
      <c r="E136" s="29">
        <v>2014</v>
      </c>
      <c r="F136" s="26">
        <v>19356</v>
      </c>
      <c r="G136" s="26">
        <v>33111</v>
      </c>
      <c r="H136" s="26">
        <v>16450</v>
      </c>
      <c r="I136" s="26">
        <v>22180</v>
      </c>
      <c r="J136" s="26">
        <v>12578</v>
      </c>
      <c r="K136" s="26"/>
      <c r="L136" s="26"/>
      <c r="M136" s="26"/>
      <c r="N136" s="26"/>
      <c r="O136" s="26"/>
      <c r="P136" s="26"/>
      <c r="Q136" s="26"/>
      <c r="R136" s="18">
        <f t="shared" si="2"/>
        <v>103675</v>
      </c>
    </row>
    <row r="137" spans="1:18" s="2" customFormat="1" ht="15">
      <c r="A137" s="10" t="s">
        <v>206</v>
      </c>
      <c r="B137" s="9" t="s">
        <v>272</v>
      </c>
      <c r="C137" s="10" t="s">
        <v>273</v>
      </c>
      <c r="D137" s="4">
        <v>16.79</v>
      </c>
      <c r="E137" s="29">
        <v>2014</v>
      </c>
      <c r="F137" s="26">
        <v>22879</v>
      </c>
      <c r="G137" s="26">
        <v>47535</v>
      </c>
      <c r="H137" s="26">
        <v>25783</v>
      </c>
      <c r="I137" s="26">
        <v>36330</v>
      </c>
      <c r="J137" s="26">
        <v>26783</v>
      </c>
      <c r="K137" s="26"/>
      <c r="L137" s="26"/>
      <c r="M137" s="26"/>
      <c r="N137" s="26"/>
      <c r="O137" s="26"/>
      <c r="P137" s="26"/>
      <c r="Q137" s="26"/>
      <c r="R137" s="18">
        <f t="shared" si="2"/>
        <v>159310</v>
      </c>
    </row>
    <row r="138" spans="1:18" s="2" customFormat="1" ht="15">
      <c r="A138" s="10" t="s">
        <v>206</v>
      </c>
      <c r="B138" s="9" t="s">
        <v>274</v>
      </c>
      <c r="C138" s="10" t="s">
        <v>275</v>
      </c>
      <c r="D138" s="4">
        <v>20.84</v>
      </c>
      <c r="E138" s="29">
        <v>2014</v>
      </c>
      <c r="F138" s="26">
        <v>42471</v>
      </c>
      <c r="G138" s="26">
        <v>54610</v>
      </c>
      <c r="H138" s="26">
        <v>30766</v>
      </c>
      <c r="I138" s="26">
        <v>41457</v>
      </c>
      <c r="J138" s="26">
        <v>23066</v>
      </c>
      <c r="K138" s="26"/>
      <c r="L138" s="26"/>
      <c r="M138" s="26"/>
      <c r="N138" s="26"/>
      <c r="O138" s="26"/>
      <c r="P138" s="26"/>
      <c r="Q138" s="26"/>
      <c r="R138" s="18">
        <f t="shared" si="2"/>
        <v>192370</v>
      </c>
    </row>
    <row r="139" spans="1:18" s="2" customFormat="1" ht="15">
      <c r="A139" s="10" t="s">
        <v>206</v>
      </c>
      <c r="B139" s="9" t="s">
        <v>276</v>
      </c>
      <c r="C139" s="10" t="s">
        <v>277</v>
      </c>
      <c r="D139" s="4">
        <v>20.239999999999998</v>
      </c>
      <c r="E139" s="29">
        <v>2014</v>
      </c>
      <c r="F139" s="26">
        <v>51239</v>
      </c>
      <c r="G139" s="26">
        <v>43766</v>
      </c>
      <c r="H139" s="26">
        <v>32657</v>
      </c>
      <c r="I139" s="26">
        <v>42862</v>
      </c>
      <c r="J139" s="26">
        <v>27545</v>
      </c>
      <c r="K139" s="26"/>
      <c r="L139" s="26"/>
      <c r="M139" s="26"/>
      <c r="N139" s="26"/>
      <c r="O139" s="26"/>
      <c r="P139" s="26"/>
      <c r="Q139" s="26"/>
      <c r="R139" s="18">
        <f t="shared" si="2"/>
        <v>198069</v>
      </c>
    </row>
    <row r="140" spans="1:18" s="2" customFormat="1" ht="15">
      <c r="A140" s="10" t="s">
        <v>206</v>
      </c>
      <c r="B140" s="9" t="s">
        <v>278</v>
      </c>
      <c r="C140" s="10" t="s">
        <v>279</v>
      </c>
      <c r="D140" s="4">
        <v>16.21</v>
      </c>
      <c r="E140" s="29">
        <v>2014</v>
      </c>
      <c r="F140" s="26">
        <v>43350</v>
      </c>
      <c r="G140" s="26">
        <v>43132</v>
      </c>
      <c r="H140" s="26">
        <v>39728</v>
      </c>
      <c r="I140" s="26">
        <v>23771</v>
      </c>
      <c r="J140" s="26">
        <v>30056</v>
      </c>
      <c r="K140" s="26"/>
      <c r="L140" s="26"/>
      <c r="M140" s="26"/>
      <c r="N140" s="26"/>
      <c r="O140" s="26"/>
      <c r="P140" s="26"/>
      <c r="Q140" s="26"/>
      <c r="R140" s="18">
        <f t="shared" si="2"/>
        <v>180037</v>
      </c>
    </row>
    <row r="141" spans="1:18" s="2" customFormat="1" ht="15">
      <c r="A141" s="10" t="s">
        <v>206</v>
      </c>
      <c r="B141" s="9" t="s">
        <v>280</v>
      </c>
      <c r="C141" s="10" t="s">
        <v>281</v>
      </c>
      <c r="D141" s="4">
        <v>11.18</v>
      </c>
      <c r="E141" s="29">
        <v>2013</v>
      </c>
      <c r="F141" s="26">
        <v>33030</v>
      </c>
      <c r="G141" s="26">
        <v>31158</v>
      </c>
      <c r="H141" s="26">
        <v>33219</v>
      </c>
      <c r="I141" s="26">
        <v>20625</v>
      </c>
      <c r="J141" s="26">
        <v>21800</v>
      </c>
      <c r="K141" s="26"/>
      <c r="L141" s="26"/>
      <c r="M141" s="26"/>
      <c r="N141" s="26"/>
      <c r="O141" s="26"/>
      <c r="P141" s="26"/>
      <c r="Q141" s="26"/>
      <c r="R141" s="18">
        <f t="shared" si="2"/>
        <v>139832</v>
      </c>
    </row>
    <row r="142" spans="1:18" s="2" customFormat="1" ht="15">
      <c r="A142" s="10" t="s">
        <v>206</v>
      </c>
      <c r="B142" s="9" t="s">
        <v>282</v>
      </c>
      <c r="C142" s="10" t="s">
        <v>283</v>
      </c>
      <c r="D142" s="4">
        <v>1.56</v>
      </c>
      <c r="E142" s="29">
        <v>2014</v>
      </c>
      <c r="F142" s="26">
        <v>1915</v>
      </c>
      <c r="G142" s="26">
        <v>1993</v>
      </c>
      <c r="H142" s="26">
        <v>1909</v>
      </c>
      <c r="I142" s="26">
        <v>1317</v>
      </c>
      <c r="J142" s="26">
        <v>2082</v>
      </c>
      <c r="K142" s="26"/>
      <c r="L142" s="26"/>
      <c r="M142" s="26"/>
      <c r="N142" s="26"/>
      <c r="O142" s="26"/>
      <c r="P142" s="26"/>
      <c r="Q142" s="26"/>
      <c r="R142" s="18">
        <f t="shared" si="2"/>
        <v>9216</v>
      </c>
    </row>
    <row r="143" spans="1:18" s="2" customFormat="1" ht="15">
      <c r="A143" s="10" t="s">
        <v>206</v>
      </c>
      <c r="B143" s="9" t="s">
        <v>284</v>
      </c>
      <c r="C143" s="10" t="s">
        <v>285</v>
      </c>
      <c r="D143" s="4">
        <v>18.09</v>
      </c>
      <c r="E143" s="29">
        <v>2014</v>
      </c>
      <c r="F143" s="26">
        <v>42010</v>
      </c>
      <c r="G143" s="26">
        <v>35468</v>
      </c>
      <c r="H143" s="26">
        <v>46438</v>
      </c>
      <c r="I143" s="26">
        <v>27533</v>
      </c>
      <c r="J143" s="26">
        <v>22364</v>
      </c>
      <c r="K143" s="26"/>
      <c r="L143" s="26"/>
      <c r="M143" s="26"/>
      <c r="N143" s="26"/>
      <c r="O143" s="26"/>
      <c r="P143" s="26"/>
      <c r="Q143" s="26"/>
      <c r="R143" s="18">
        <f t="shared" si="2"/>
        <v>173813</v>
      </c>
    </row>
    <row r="144" spans="1:18" s="2" customFormat="1" ht="15">
      <c r="A144" s="10" t="s">
        <v>206</v>
      </c>
      <c r="B144" s="9" t="s">
        <v>286</v>
      </c>
      <c r="C144" s="10" t="s">
        <v>287</v>
      </c>
      <c r="D144" s="4">
        <v>18.41</v>
      </c>
      <c r="E144" s="29">
        <v>2014</v>
      </c>
      <c r="F144" s="26">
        <v>35821</v>
      </c>
      <c r="G144" s="26">
        <v>32274</v>
      </c>
      <c r="H144" s="26">
        <v>40178</v>
      </c>
      <c r="I144" s="26">
        <v>26540</v>
      </c>
      <c r="J144" s="26">
        <v>35586</v>
      </c>
      <c r="K144" s="26"/>
      <c r="L144" s="26"/>
      <c r="M144" s="26"/>
      <c r="N144" s="26"/>
      <c r="O144" s="26"/>
      <c r="P144" s="26"/>
      <c r="Q144" s="26"/>
      <c r="R144" s="18">
        <f t="shared" si="2"/>
        <v>170399</v>
      </c>
    </row>
    <row r="145" spans="1:18" s="2" customFormat="1" ht="15">
      <c r="A145" s="10" t="s">
        <v>206</v>
      </c>
      <c r="B145" s="9" t="s">
        <v>288</v>
      </c>
      <c r="C145" s="10" t="s">
        <v>289</v>
      </c>
      <c r="D145" s="4">
        <v>22.45</v>
      </c>
      <c r="E145" s="29">
        <v>2014</v>
      </c>
      <c r="F145" s="26">
        <v>31010</v>
      </c>
      <c r="G145" s="26">
        <v>29697</v>
      </c>
      <c r="H145" s="26">
        <v>39448</v>
      </c>
      <c r="I145" s="26">
        <v>25291</v>
      </c>
      <c r="J145" s="26">
        <v>26519</v>
      </c>
      <c r="K145" s="26"/>
      <c r="L145" s="26"/>
      <c r="M145" s="26"/>
      <c r="N145" s="26"/>
      <c r="O145" s="26"/>
      <c r="P145" s="26"/>
      <c r="Q145" s="26"/>
      <c r="R145" s="18">
        <f t="shared" si="2"/>
        <v>151965</v>
      </c>
    </row>
    <row r="146" spans="1:18" s="2" customFormat="1" ht="15">
      <c r="A146" s="10" t="s">
        <v>206</v>
      </c>
      <c r="B146" s="9" t="s">
        <v>290</v>
      </c>
      <c r="C146" s="10" t="s">
        <v>291</v>
      </c>
      <c r="D146" s="4">
        <v>19.89</v>
      </c>
      <c r="E146" s="29">
        <v>2014</v>
      </c>
      <c r="F146" s="26">
        <v>44050</v>
      </c>
      <c r="G146" s="26">
        <v>37817</v>
      </c>
      <c r="H146" s="26">
        <v>49327</v>
      </c>
      <c r="I146" s="26">
        <v>27419</v>
      </c>
      <c r="J146" s="26">
        <v>34052</v>
      </c>
      <c r="K146" s="26"/>
      <c r="L146" s="26"/>
      <c r="M146" s="26"/>
      <c r="N146" s="26"/>
      <c r="O146" s="26"/>
      <c r="P146" s="26"/>
      <c r="Q146" s="26"/>
      <c r="R146" s="18">
        <f t="shared" si="2"/>
        <v>192665</v>
      </c>
    </row>
    <row r="147" spans="1:18" s="2" customFormat="1" ht="15">
      <c r="A147" s="10" t="s">
        <v>206</v>
      </c>
      <c r="B147" s="9" t="s">
        <v>292</v>
      </c>
      <c r="C147" s="10" t="s">
        <v>293</v>
      </c>
      <c r="D147" s="4">
        <v>8.4700000000000006</v>
      </c>
      <c r="E147" s="29">
        <v>2014</v>
      </c>
      <c r="F147" s="26">
        <v>16984</v>
      </c>
      <c r="G147" s="26">
        <v>18286</v>
      </c>
      <c r="H147" s="26">
        <v>20908</v>
      </c>
      <c r="I147" s="26">
        <v>14137</v>
      </c>
      <c r="J147" s="26">
        <v>12504</v>
      </c>
      <c r="K147" s="26"/>
      <c r="L147" s="26"/>
      <c r="M147" s="26"/>
      <c r="N147" s="26"/>
      <c r="O147" s="26"/>
      <c r="P147" s="26"/>
      <c r="Q147" s="26"/>
      <c r="R147" s="18">
        <f t="shared" si="2"/>
        <v>82819</v>
      </c>
    </row>
    <row r="148" spans="1:18" s="2" customFormat="1" ht="15">
      <c r="A148" s="10" t="s">
        <v>206</v>
      </c>
      <c r="B148" s="9" t="s">
        <v>294</v>
      </c>
      <c r="C148" s="10" t="s">
        <v>295</v>
      </c>
      <c r="D148" s="4">
        <v>8.9700000000000006</v>
      </c>
      <c r="E148" s="29">
        <v>2014</v>
      </c>
      <c r="F148" s="26">
        <v>20809</v>
      </c>
      <c r="G148" s="26">
        <v>22310</v>
      </c>
      <c r="H148" s="26">
        <v>26108</v>
      </c>
      <c r="I148" s="26">
        <v>16952</v>
      </c>
      <c r="J148" s="26">
        <v>11745</v>
      </c>
      <c r="K148" s="26"/>
      <c r="L148" s="26"/>
      <c r="M148" s="26"/>
      <c r="N148" s="26"/>
      <c r="O148" s="26"/>
      <c r="P148" s="26"/>
      <c r="Q148" s="26"/>
      <c r="R148" s="18">
        <f t="shared" si="2"/>
        <v>97924</v>
      </c>
    </row>
    <row r="149" spans="1:18" s="2" customFormat="1" ht="15">
      <c r="A149" s="10" t="s">
        <v>206</v>
      </c>
      <c r="B149" s="9" t="s">
        <v>296</v>
      </c>
      <c r="C149" s="10" t="s">
        <v>297</v>
      </c>
      <c r="D149" s="4">
        <v>6.95</v>
      </c>
      <c r="E149" s="29">
        <v>2014</v>
      </c>
      <c r="F149" s="26">
        <v>17016</v>
      </c>
      <c r="G149" s="26">
        <v>15654</v>
      </c>
      <c r="H149" s="26">
        <v>20786</v>
      </c>
      <c r="I149" s="26">
        <v>12247</v>
      </c>
      <c r="J149" s="26">
        <v>15932</v>
      </c>
      <c r="K149" s="26"/>
      <c r="L149" s="26"/>
      <c r="M149" s="26"/>
      <c r="N149" s="26"/>
      <c r="O149" s="26"/>
      <c r="P149" s="26"/>
      <c r="Q149" s="26"/>
      <c r="R149" s="18">
        <f t="shared" si="2"/>
        <v>81635</v>
      </c>
    </row>
    <row r="150" spans="1:18" s="2" customFormat="1" ht="15">
      <c r="A150" s="10" t="s">
        <v>206</v>
      </c>
      <c r="B150" s="9" t="s">
        <v>298</v>
      </c>
      <c r="C150" s="10" t="s">
        <v>299</v>
      </c>
      <c r="D150" s="4">
        <v>4.2</v>
      </c>
      <c r="E150" s="29">
        <v>2021</v>
      </c>
      <c r="F150" s="26">
        <v>8676</v>
      </c>
      <c r="G150" s="26">
        <v>15545</v>
      </c>
      <c r="H150" s="26">
        <v>7673</v>
      </c>
      <c r="I150" s="26">
        <v>9083</v>
      </c>
      <c r="J150" s="26">
        <v>9153</v>
      </c>
      <c r="K150" s="26"/>
      <c r="L150" s="26"/>
      <c r="M150" s="26"/>
      <c r="N150" s="26"/>
      <c r="O150" s="26"/>
      <c r="P150" s="26"/>
      <c r="Q150" s="26"/>
      <c r="R150" s="18">
        <f t="shared" si="2"/>
        <v>50130</v>
      </c>
    </row>
    <row r="151" spans="1:18" s="2" customFormat="1" ht="15">
      <c r="A151" s="10" t="s">
        <v>300</v>
      </c>
      <c r="B151" s="9" t="s">
        <v>301</v>
      </c>
      <c r="C151" s="10" t="s">
        <v>302</v>
      </c>
      <c r="D151" s="4">
        <v>20.02</v>
      </c>
      <c r="E151" s="29">
        <v>2011</v>
      </c>
      <c r="F151" s="26">
        <v>55058</v>
      </c>
      <c r="G151" s="26">
        <v>63561</v>
      </c>
      <c r="H151" s="26">
        <v>46362</v>
      </c>
      <c r="I151" s="26">
        <v>60867</v>
      </c>
      <c r="J151" s="26">
        <v>44534</v>
      </c>
      <c r="K151" s="26"/>
      <c r="L151" s="26"/>
      <c r="M151" s="26"/>
      <c r="N151" s="26"/>
      <c r="O151" s="26"/>
      <c r="P151" s="26"/>
      <c r="Q151" s="26"/>
      <c r="R151" s="18">
        <f t="shared" si="2"/>
        <v>270382</v>
      </c>
    </row>
    <row r="152" spans="1:18" s="2" customFormat="1" ht="15">
      <c r="A152" s="10" t="s">
        <v>300</v>
      </c>
      <c r="B152" s="9" t="s">
        <v>303</v>
      </c>
      <c r="C152" s="10" t="s">
        <v>304</v>
      </c>
      <c r="D152" s="4">
        <v>16.62</v>
      </c>
      <c r="E152" s="29">
        <v>2011</v>
      </c>
      <c r="F152" s="26">
        <v>46660</v>
      </c>
      <c r="G152" s="26">
        <v>49564</v>
      </c>
      <c r="H152" s="26">
        <v>59730</v>
      </c>
      <c r="I152" s="26">
        <v>53360</v>
      </c>
      <c r="J152" s="26">
        <v>31952</v>
      </c>
      <c r="K152" s="26"/>
      <c r="L152" s="26"/>
      <c r="M152" s="26"/>
      <c r="N152" s="26"/>
      <c r="O152" s="26"/>
      <c r="P152" s="26"/>
      <c r="Q152" s="26"/>
      <c r="R152" s="18">
        <f t="shared" si="2"/>
        <v>241266</v>
      </c>
    </row>
    <row r="153" spans="1:18" s="2" customFormat="1" ht="15">
      <c r="A153" s="10" t="s">
        <v>300</v>
      </c>
      <c r="B153" s="9" t="s">
        <v>305</v>
      </c>
      <c r="C153" s="10" t="s">
        <v>306</v>
      </c>
      <c r="D153" s="4">
        <v>15.76</v>
      </c>
      <c r="E153" s="29">
        <v>2011</v>
      </c>
      <c r="F153" s="26">
        <v>34432</v>
      </c>
      <c r="G153" s="26">
        <v>38856</v>
      </c>
      <c r="H153" s="26">
        <v>46893</v>
      </c>
      <c r="I153" s="26">
        <v>44799</v>
      </c>
      <c r="J153" s="26">
        <v>32870</v>
      </c>
      <c r="K153" s="26"/>
      <c r="L153" s="26"/>
      <c r="M153" s="26"/>
      <c r="N153" s="26"/>
      <c r="O153" s="26"/>
      <c r="P153" s="26"/>
      <c r="Q153" s="26"/>
      <c r="R153" s="18">
        <f t="shared" si="2"/>
        <v>197850</v>
      </c>
    </row>
    <row r="154" spans="1:18" s="2" customFormat="1" ht="15">
      <c r="A154" s="10" t="s">
        <v>300</v>
      </c>
      <c r="B154" s="9" t="s">
        <v>307</v>
      </c>
      <c r="C154" s="10" t="s">
        <v>308</v>
      </c>
      <c r="D154" s="4">
        <v>17.260000000000002</v>
      </c>
      <c r="E154" s="29">
        <v>2011</v>
      </c>
      <c r="F154" s="26">
        <v>47828</v>
      </c>
      <c r="G154" s="26">
        <v>42344</v>
      </c>
      <c r="H154" s="26">
        <v>62227</v>
      </c>
      <c r="I154" s="26">
        <v>47232</v>
      </c>
      <c r="J154" s="26">
        <v>60593</v>
      </c>
      <c r="K154" s="26"/>
      <c r="L154" s="26"/>
      <c r="M154" s="26"/>
      <c r="N154" s="26"/>
      <c r="O154" s="26"/>
      <c r="P154" s="26"/>
      <c r="Q154" s="26"/>
      <c r="R154" s="18">
        <f t="shared" si="2"/>
        <v>260224</v>
      </c>
    </row>
    <row r="155" spans="1:18" s="2" customFormat="1" ht="15">
      <c r="A155" s="10" t="s">
        <v>300</v>
      </c>
      <c r="B155" s="9" t="s">
        <v>309</v>
      </c>
      <c r="C155" s="10" t="s">
        <v>310</v>
      </c>
      <c r="D155" s="4">
        <v>16.73</v>
      </c>
      <c r="E155" s="29">
        <v>2011</v>
      </c>
      <c r="F155" s="26">
        <v>49691</v>
      </c>
      <c r="G155" s="26">
        <v>40926</v>
      </c>
      <c r="H155" s="26">
        <v>61911</v>
      </c>
      <c r="I155" s="26">
        <v>46956</v>
      </c>
      <c r="J155" s="26">
        <v>47559</v>
      </c>
      <c r="K155" s="26"/>
      <c r="L155" s="26"/>
      <c r="M155" s="26"/>
      <c r="N155" s="26"/>
      <c r="O155" s="26"/>
      <c r="P155" s="26"/>
      <c r="Q155" s="26"/>
      <c r="R155" s="18">
        <f t="shared" si="2"/>
        <v>247043</v>
      </c>
    </row>
    <row r="156" spans="1:18" s="2" customFormat="1" ht="15">
      <c r="A156" s="10" t="s">
        <v>300</v>
      </c>
      <c r="B156" s="9" t="s">
        <v>311</v>
      </c>
      <c r="C156" s="10" t="s">
        <v>312</v>
      </c>
      <c r="D156" s="4">
        <v>28.13</v>
      </c>
      <c r="E156" s="29">
        <v>2011</v>
      </c>
      <c r="F156" s="26">
        <v>63443</v>
      </c>
      <c r="G156" s="26">
        <v>92601</v>
      </c>
      <c r="H156" s="26">
        <v>96414</v>
      </c>
      <c r="I156" s="26">
        <v>59229</v>
      </c>
      <c r="J156" s="26">
        <v>88242</v>
      </c>
      <c r="K156" s="26"/>
      <c r="L156" s="26"/>
      <c r="M156" s="26"/>
      <c r="N156" s="26"/>
      <c r="O156" s="26"/>
      <c r="P156" s="26"/>
      <c r="Q156" s="26"/>
      <c r="R156" s="18">
        <f t="shared" si="2"/>
        <v>399929</v>
      </c>
    </row>
    <row r="157" spans="1:18" s="2" customFormat="1" ht="15">
      <c r="A157" s="10" t="s">
        <v>300</v>
      </c>
      <c r="B157" s="9" t="s">
        <v>313</v>
      </c>
      <c r="C157" s="10" t="s">
        <v>314</v>
      </c>
      <c r="D157" s="4">
        <v>16.25</v>
      </c>
      <c r="E157" s="29">
        <v>2011</v>
      </c>
      <c r="F157" s="26">
        <v>24882</v>
      </c>
      <c r="G157" s="26">
        <v>37853</v>
      </c>
      <c r="H157" s="26">
        <v>39690</v>
      </c>
      <c r="I157" s="26">
        <v>32946</v>
      </c>
      <c r="J157" s="26">
        <v>43824</v>
      </c>
      <c r="K157" s="26"/>
      <c r="L157" s="26"/>
      <c r="M157" s="26"/>
      <c r="N157" s="26"/>
      <c r="O157" s="26"/>
      <c r="P157" s="26"/>
      <c r="Q157" s="26"/>
      <c r="R157" s="18">
        <f t="shared" si="2"/>
        <v>179195</v>
      </c>
    </row>
    <row r="158" spans="1:18" s="2" customFormat="1" ht="15">
      <c r="A158" s="10" t="s">
        <v>300</v>
      </c>
      <c r="B158" s="9" t="s">
        <v>315</v>
      </c>
      <c r="C158" s="10" t="s">
        <v>316</v>
      </c>
      <c r="D158" s="4">
        <v>24.52</v>
      </c>
      <c r="E158" s="29">
        <v>2011</v>
      </c>
      <c r="F158" s="26">
        <v>45753</v>
      </c>
      <c r="G158" s="26">
        <v>64092</v>
      </c>
      <c r="H158" s="26">
        <v>74650</v>
      </c>
      <c r="I158" s="26">
        <v>50239</v>
      </c>
      <c r="J158" s="26">
        <v>67236</v>
      </c>
      <c r="K158" s="26"/>
      <c r="L158" s="26"/>
      <c r="M158" s="26"/>
      <c r="N158" s="26"/>
      <c r="O158" s="26"/>
      <c r="P158" s="26"/>
      <c r="Q158" s="26"/>
      <c r="R158" s="18">
        <f t="shared" si="2"/>
        <v>301970</v>
      </c>
    </row>
    <row r="159" spans="1:18" s="2" customFormat="1" ht="15">
      <c r="A159" s="10" t="s">
        <v>300</v>
      </c>
      <c r="B159" s="9" t="s">
        <v>317</v>
      </c>
      <c r="C159" s="10" t="s">
        <v>318</v>
      </c>
      <c r="D159" s="4">
        <v>32.75</v>
      </c>
      <c r="E159" s="29">
        <v>2011</v>
      </c>
      <c r="F159" s="26">
        <v>69341</v>
      </c>
      <c r="G159" s="26">
        <v>83463</v>
      </c>
      <c r="H159" s="26">
        <v>93851</v>
      </c>
      <c r="I159" s="26">
        <v>64578</v>
      </c>
      <c r="J159" s="26">
        <v>81799</v>
      </c>
      <c r="K159" s="26"/>
      <c r="L159" s="26"/>
      <c r="M159" s="26"/>
      <c r="N159" s="26"/>
      <c r="O159" s="26"/>
      <c r="P159" s="26"/>
      <c r="Q159" s="26"/>
      <c r="R159" s="18">
        <f t="shared" si="2"/>
        <v>393032</v>
      </c>
    </row>
    <row r="160" spans="1:18" s="2" customFormat="1" ht="15">
      <c r="A160" s="10" t="s">
        <v>300</v>
      </c>
      <c r="B160" s="9" t="s">
        <v>319</v>
      </c>
      <c r="C160" s="10" t="s">
        <v>320</v>
      </c>
      <c r="D160" s="4">
        <v>2.27</v>
      </c>
      <c r="E160" s="29">
        <v>2011</v>
      </c>
      <c r="F160" s="26">
        <v>4791</v>
      </c>
      <c r="G160" s="26">
        <v>4791</v>
      </c>
      <c r="H160" s="26">
        <v>5304</v>
      </c>
      <c r="I160" s="26">
        <v>5403</v>
      </c>
      <c r="J160" s="26">
        <v>4559</v>
      </c>
      <c r="K160" s="26"/>
      <c r="L160" s="26"/>
      <c r="M160" s="26"/>
      <c r="N160" s="26"/>
      <c r="O160" s="26"/>
      <c r="P160" s="26"/>
      <c r="Q160" s="26"/>
      <c r="R160" s="18">
        <f t="shared" si="2"/>
        <v>24848</v>
      </c>
    </row>
    <row r="161" spans="1:18" s="2" customFormat="1" ht="15">
      <c r="A161" s="10" t="s">
        <v>300</v>
      </c>
      <c r="B161" s="9" t="s">
        <v>321</v>
      </c>
      <c r="C161" s="10" t="s">
        <v>322</v>
      </c>
      <c r="D161" s="4">
        <v>9.66</v>
      </c>
      <c r="E161" s="29">
        <v>2011</v>
      </c>
      <c r="F161" s="26">
        <v>26116</v>
      </c>
      <c r="G161" s="26">
        <v>27591</v>
      </c>
      <c r="H161" s="26">
        <v>33662</v>
      </c>
      <c r="I161" s="26">
        <v>29295</v>
      </c>
      <c r="J161" s="26">
        <v>19987</v>
      </c>
      <c r="K161" s="26"/>
      <c r="L161" s="26"/>
      <c r="M161" s="26"/>
      <c r="N161" s="26"/>
      <c r="O161" s="26"/>
      <c r="P161" s="26"/>
      <c r="Q161" s="26"/>
      <c r="R161" s="18">
        <f t="shared" si="2"/>
        <v>136651</v>
      </c>
    </row>
    <row r="162" spans="1:18" s="2" customFormat="1" ht="15">
      <c r="A162" s="10" t="s">
        <v>300</v>
      </c>
      <c r="B162" s="9" t="s">
        <v>323</v>
      </c>
      <c r="C162" s="10" t="s">
        <v>324</v>
      </c>
      <c r="D162" s="4">
        <v>20.71</v>
      </c>
      <c r="E162" s="29">
        <v>2012</v>
      </c>
      <c r="F162" s="26">
        <v>47593</v>
      </c>
      <c r="G162" s="26">
        <v>43426</v>
      </c>
      <c r="H162" s="26">
        <v>56871</v>
      </c>
      <c r="I162" s="26">
        <v>51420</v>
      </c>
      <c r="J162" s="26">
        <v>31983</v>
      </c>
      <c r="K162" s="26"/>
      <c r="L162" s="26"/>
      <c r="M162" s="26"/>
      <c r="N162" s="26"/>
      <c r="O162" s="26"/>
      <c r="P162" s="26"/>
      <c r="Q162" s="26"/>
      <c r="R162" s="18">
        <f t="shared" si="2"/>
        <v>231293</v>
      </c>
    </row>
    <row r="163" spans="1:18" s="2" customFormat="1" ht="15">
      <c r="A163" s="10" t="s">
        <v>300</v>
      </c>
      <c r="B163" s="9" t="s">
        <v>325</v>
      </c>
      <c r="C163" s="10" t="s">
        <v>326</v>
      </c>
      <c r="D163" s="4">
        <v>29.26</v>
      </c>
      <c r="E163" s="29">
        <v>2014</v>
      </c>
      <c r="F163" s="26">
        <v>73486</v>
      </c>
      <c r="G163" s="26">
        <v>56227</v>
      </c>
      <c r="H163" s="26">
        <v>71246</v>
      </c>
      <c r="I163" s="26">
        <v>60526</v>
      </c>
      <c r="J163" s="26">
        <v>44893</v>
      </c>
      <c r="K163" s="26"/>
      <c r="L163" s="26"/>
      <c r="M163" s="26"/>
      <c r="N163" s="26"/>
      <c r="O163" s="26"/>
      <c r="P163" s="26"/>
      <c r="Q163" s="26"/>
      <c r="R163" s="18">
        <f t="shared" si="2"/>
        <v>306378</v>
      </c>
    </row>
    <row r="164" spans="1:18" s="2" customFormat="1" ht="15">
      <c r="A164" s="10" t="s">
        <v>300</v>
      </c>
      <c r="B164" s="9" t="s">
        <v>327</v>
      </c>
      <c r="C164" s="10" t="s">
        <v>328</v>
      </c>
      <c r="D164" s="4">
        <v>29.08</v>
      </c>
      <c r="E164" s="29">
        <v>2014</v>
      </c>
      <c r="F164" s="26">
        <v>54256</v>
      </c>
      <c r="G164" s="26">
        <v>43122</v>
      </c>
      <c r="H164" s="26">
        <v>55016</v>
      </c>
      <c r="I164" s="26">
        <v>52430</v>
      </c>
      <c r="J164" s="26">
        <v>39380</v>
      </c>
      <c r="K164" s="26"/>
      <c r="L164" s="26"/>
      <c r="M164" s="26"/>
      <c r="N164" s="26"/>
      <c r="O164" s="26"/>
      <c r="P164" s="26"/>
      <c r="Q164" s="26"/>
      <c r="R164" s="18">
        <f t="shared" si="2"/>
        <v>244204</v>
      </c>
    </row>
    <row r="165" spans="1:18" s="2" customFormat="1" ht="15">
      <c r="A165" s="10" t="s">
        <v>300</v>
      </c>
      <c r="B165" s="9" t="s">
        <v>329</v>
      </c>
      <c r="C165" s="10" t="s">
        <v>330</v>
      </c>
      <c r="D165" s="4">
        <v>27.31</v>
      </c>
      <c r="E165" s="29">
        <v>2014</v>
      </c>
      <c r="F165" s="26">
        <v>59877</v>
      </c>
      <c r="G165" s="26">
        <v>47842</v>
      </c>
      <c r="H165" s="26">
        <v>61411</v>
      </c>
      <c r="I165" s="26">
        <v>54126</v>
      </c>
      <c r="J165" s="26">
        <v>37362</v>
      </c>
      <c r="K165" s="26"/>
      <c r="L165" s="26"/>
      <c r="M165" s="26"/>
      <c r="N165" s="26"/>
      <c r="O165" s="26"/>
      <c r="P165" s="26"/>
      <c r="Q165" s="26"/>
      <c r="R165" s="18">
        <f t="shared" si="2"/>
        <v>260618</v>
      </c>
    </row>
    <row r="166" spans="1:18" s="2" customFormat="1" ht="15">
      <c r="A166" s="4" t="s">
        <v>300</v>
      </c>
      <c r="B166" s="3" t="s">
        <v>331</v>
      </c>
      <c r="C166" s="4" t="s">
        <v>332</v>
      </c>
      <c r="D166" s="4">
        <v>29.78</v>
      </c>
      <c r="E166" s="28">
        <v>2014</v>
      </c>
      <c r="F166" s="26">
        <v>69110</v>
      </c>
      <c r="G166" s="26">
        <v>56926</v>
      </c>
      <c r="H166" s="26">
        <v>71301</v>
      </c>
      <c r="I166" s="26">
        <v>67359</v>
      </c>
      <c r="J166" s="26">
        <v>43010</v>
      </c>
      <c r="K166" s="26"/>
      <c r="L166" s="26"/>
      <c r="M166" s="26"/>
      <c r="N166" s="26"/>
      <c r="O166" s="26"/>
      <c r="P166" s="26"/>
      <c r="Q166" s="26"/>
      <c r="R166" s="18">
        <f t="shared" si="2"/>
        <v>307706</v>
      </c>
    </row>
    <row r="167" spans="1:18" s="2" customFormat="1" ht="15">
      <c r="A167" s="4" t="s">
        <v>300</v>
      </c>
      <c r="B167" s="3" t="s">
        <v>333</v>
      </c>
      <c r="C167" s="4" t="s">
        <v>334</v>
      </c>
      <c r="D167" s="4">
        <v>15.43</v>
      </c>
      <c r="E167" s="28">
        <v>2014</v>
      </c>
      <c r="F167" s="26">
        <v>25274</v>
      </c>
      <c r="G167" s="26">
        <v>22237</v>
      </c>
      <c r="H167" s="26">
        <v>28059</v>
      </c>
      <c r="I167" s="26">
        <v>24153</v>
      </c>
      <c r="J167" s="26">
        <v>13914</v>
      </c>
      <c r="K167" s="26"/>
      <c r="L167" s="26"/>
      <c r="M167" s="26"/>
      <c r="N167" s="26"/>
      <c r="O167" s="26"/>
      <c r="P167" s="26"/>
      <c r="Q167" s="26"/>
      <c r="R167" s="18">
        <f t="shared" si="2"/>
        <v>113637</v>
      </c>
    </row>
    <row r="168" spans="1:18" s="2" customFormat="1" ht="15">
      <c r="A168" s="4" t="s">
        <v>300</v>
      </c>
      <c r="B168" s="3" t="s">
        <v>335</v>
      </c>
      <c r="C168" s="4" t="s">
        <v>336</v>
      </c>
      <c r="D168" s="4">
        <v>13.9</v>
      </c>
      <c r="E168" s="28">
        <v>2011</v>
      </c>
      <c r="F168" s="26">
        <v>41618</v>
      </c>
      <c r="G168" s="26">
        <v>36076</v>
      </c>
      <c r="H168" s="26">
        <v>52176</v>
      </c>
      <c r="I168" s="26">
        <v>43007</v>
      </c>
      <c r="J168" s="26">
        <v>27934</v>
      </c>
      <c r="K168" s="26"/>
      <c r="L168" s="26"/>
      <c r="M168" s="26"/>
      <c r="N168" s="26"/>
      <c r="O168" s="26"/>
      <c r="P168" s="26"/>
      <c r="Q168" s="26"/>
      <c r="R168" s="18">
        <f t="shared" si="2"/>
        <v>200811</v>
      </c>
    </row>
    <row r="169" spans="1:18" s="2" customFormat="1" ht="15">
      <c r="A169" s="4" t="s">
        <v>300</v>
      </c>
      <c r="B169" s="3" t="s">
        <v>337</v>
      </c>
      <c r="C169" s="4" t="s">
        <v>338</v>
      </c>
      <c r="D169" s="4">
        <v>5.93</v>
      </c>
      <c r="E169" s="28">
        <v>2013</v>
      </c>
      <c r="F169" s="26">
        <v>14333</v>
      </c>
      <c r="G169" s="26">
        <v>10985</v>
      </c>
      <c r="H169" s="26">
        <v>14077</v>
      </c>
      <c r="I169" s="26">
        <v>10135</v>
      </c>
      <c r="J169" s="26">
        <v>6269</v>
      </c>
      <c r="K169" s="26"/>
      <c r="L169" s="26"/>
      <c r="M169" s="26"/>
      <c r="N169" s="26"/>
      <c r="O169" s="26"/>
      <c r="P169" s="26"/>
      <c r="Q169" s="26"/>
      <c r="R169" s="18">
        <f t="shared" si="2"/>
        <v>55799</v>
      </c>
    </row>
    <row r="170" spans="1:18" s="2" customFormat="1" ht="15">
      <c r="A170" s="4" t="s">
        <v>300</v>
      </c>
      <c r="B170" s="3" t="s">
        <v>339</v>
      </c>
      <c r="C170" s="4" t="s">
        <v>340</v>
      </c>
      <c r="D170" s="4">
        <v>28.48</v>
      </c>
      <c r="E170" s="28">
        <v>2011</v>
      </c>
      <c r="F170" s="26">
        <v>77459</v>
      </c>
      <c r="G170" s="26">
        <v>92764</v>
      </c>
      <c r="H170" s="26">
        <v>86106</v>
      </c>
      <c r="I170" s="26">
        <v>56595</v>
      </c>
      <c r="J170" s="26">
        <v>75420</v>
      </c>
      <c r="K170" s="26"/>
      <c r="L170" s="26"/>
      <c r="M170" s="26"/>
      <c r="N170" s="26"/>
      <c r="O170" s="26"/>
      <c r="P170" s="26"/>
      <c r="Q170" s="26"/>
      <c r="R170" s="18">
        <f t="shared" si="2"/>
        <v>388344</v>
      </c>
    </row>
    <row r="171" spans="1:18" s="2" customFormat="1" ht="15">
      <c r="A171" s="4" t="s">
        <v>300</v>
      </c>
      <c r="B171" s="3" t="s">
        <v>341</v>
      </c>
      <c r="C171" s="4" t="s">
        <v>342</v>
      </c>
      <c r="D171" s="4">
        <v>26.61</v>
      </c>
      <c r="E171" s="28">
        <v>2011</v>
      </c>
      <c r="F171" s="26">
        <v>57937</v>
      </c>
      <c r="G171" s="26">
        <v>72720</v>
      </c>
      <c r="H171" s="26">
        <v>69441</v>
      </c>
      <c r="I171" s="26">
        <v>39618</v>
      </c>
      <c r="J171" s="26">
        <v>48651</v>
      </c>
      <c r="K171" s="26"/>
      <c r="L171" s="26"/>
      <c r="M171" s="26"/>
      <c r="N171" s="26"/>
      <c r="O171" s="26"/>
      <c r="P171" s="26"/>
      <c r="Q171" s="26"/>
      <c r="R171" s="18">
        <f t="shared" si="2"/>
        <v>288367</v>
      </c>
    </row>
    <row r="172" spans="1:18" s="2" customFormat="1" ht="15">
      <c r="A172" s="4" t="s">
        <v>300</v>
      </c>
      <c r="B172" s="3" t="s">
        <v>343</v>
      </c>
      <c r="C172" s="4" t="s">
        <v>344</v>
      </c>
      <c r="D172" s="4">
        <v>33.06</v>
      </c>
      <c r="E172" s="28">
        <v>2013</v>
      </c>
      <c r="F172" s="26">
        <v>107593</v>
      </c>
      <c r="G172" s="26">
        <v>118893</v>
      </c>
      <c r="H172" s="26">
        <v>108741</v>
      </c>
      <c r="I172" s="26">
        <v>71135</v>
      </c>
      <c r="J172" s="26">
        <v>84323</v>
      </c>
      <c r="K172" s="26"/>
      <c r="L172" s="26"/>
      <c r="M172" s="26"/>
      <c r="N172" s="26"/>
      <c r="O172" s="26"/>
      <c r="P172" s="26"/>
      <c r="Q172" s="26"/>
      <c r="R172" s="18">
        <f t="shared" si="2"/>
        <v>490685</v>
      </c>
    </row>
    <row r="173" spans="1:18" s="2" customFormat="1" ht="15">
      <c r="A173" s="4" t="s">
        <v>300</v>
      </c>
      <c r="B173" s="3" t="s">
        <v>345</v>
      </c>
      <c r="C173" s="4" t="s">
        <v>346</v>
      </c>
      <c r="D173" s="4">
        <v>18.16</v>
      </c>
      <c r="E173" s="28">
        <v>2011</v>
      </c>
      <c r="F173" s="26">
        <v>37153</v>
      </c>
      <c r="G173" s="26">
        <v>53116</v>
      </c>
      <c r="H173" s="26">
        <v>43071</v>
      </c>
      <c r="I173" s="26">
        <v>33862</v>
      </c>
      <c r="J173" s="26">
        <v>45135</v>
      </c>
      <c r="K173" s="26"/>
      <c r="L173" s="26"/>
      <c r="M173" s="26"/>
      <c r="N173" s="26"/>
      <c r="O173" s="26"/>
      <c r="P173" s="26"/>
      <c r="Q173" s="26"/>
      <c r="R173" s="18">
        <f t="shared" si="2"/>
        <v>212337</v>
      </c>
    </row>
    <row r="174" spans="1:18" s="2" customFormat="1" ht="15">
      <c r="A174" s="4" t="s">
        <v>300</v>
      </c>
      <c r="B174" s="3" t="s">
        <v>347</v>
      </c>
      <c r="C174" s="4" t="s">
        <v>348</v>
      </c>
      <c r="D174" s="4">
        <v>16.239999999999998</v>
      </c>
      <c r="E174" s="28">
        <v>2011</v>
      </c>
      <c r="F174" s="26">
        <v>35202</v>
      </c>
      <c r="G174" s="26">
        <v>47268</v>
      </c>
      <c r="H174" s="26">
        <v>44539</v>
      </c>
      <c r="I174" s="26">
        <v>28083</v>
      </c>
      <c r="J174" s="26">
        <v>36209</v>
      </c>
      <c r="K174" s="26"/>
      <c r="L174" s="26"/>
      <c r="M174" s="26"/>
      <c r="N174" s="26"/>
      <c r="O174" s="26"/>
      <c r="P174" s="26"/>
      <c r="Q174" s="26"/>
      <c r="R174" s="18">
        <f t="shared" si="2"/>
        <v>191301</v>
      </c>
    </row>
    <row r="175" spans="1:18" s="2" customFormat="1" ht="15">
      <c r="A175" s="4" t="s">
        <v>300</v>
      </c>
      <c r="B175" s="3" t="s">
        <v>349</v>
      </c>
      <c r="C175" s="4" t="s">
        <v>350</v>
      </c>
      <c r="D175" s="4">
        <v>5.28</v>
      </c>
      <c r="E175" s="28">
        <v>2013</v>
      </c>
      <c r="F175" s="26">
        <v>13397</v>
      </c>
      <c r="G175" s="26">
        <v>18936</v>
      </c>
      <c r="H175" s="26">
        <v>18596</v>
      </c>
      <c r="I175" s="26">
        <v>11622</v>
      </c>
      <c r="J175" s="26">
        <v>17522</v>
      </c>
      <c r="K175" s="26"/>
      <c r="L175" s="26"/>
      <c r="M175" s="26"/>
      <c r="N175" s="26"/>
      <c r="O175" s="26"/>
      <c r="P175" s="26"/>
      <c r="Q175" s="26"/>
      <c r="R175" s="18">
        <f t="shared" si="2"/>
        <v>80073</v>
      </c>
    </row>
    <row r="176" spans="1:18" s="2" customFormat="1" ht="15">
      <c r="A176" s="4" t="s">
        <v>300</v>
      </c>
      <c r="B176" s="3" t="s">
        <v>351</v>
      </c>
      <c r="C176" s="4" t="s">
        <v>352</v>
      </c>
      <c r="D176" s="4">
        <v>13.9</v>
      </c>
      <c r="E176" s="28">
        <v>2011</v>
      </c>
      <c r="F176" s="26">
        <v>38307</v>
      </c>
      <c r="G176" s="26">
        <v>32543</v>
      </c>
      <c r="H176" s="26">
        <v>46015</v>
      </c>
      <c r="I176" s="26">
        <v>41230</v>
      </c>
      <c r="J176" s="26">
        <v>31919</v>
      </c>
      <c r="K176" s="26"/>
      <c r="L176" s="26"/>
      <c r="M176" s="26"/>
      <c r="N176" s="26"/>
      <c r="O176" s="26"/>
      <c r="P176" s="26"/>
      <c r="Q176" s="26"/>
      <c r="R176" s="18">
        <f t="shared" si="2"/>
        <v>190014</v>
      </c>
    </row>
    <row r="177" spans="1:18" s="2" customFormat="1" ht="15">
      <c r="A177" s="4" t="s">
        <v>300</v>
      </c>
      <c r="B177" s="3" t="s">
        <v>353</v>
      </c>
      <c r="C177" s="4" t="s">
        <v>354</v>
      </c>
      <c r="D177" s="4">
        <v>9.17</v>
      </c>
      <c r="E177" s="29">
        <v>2011</v>
      </c>
      <c r="F177" s="26">
        <v>29408</v>
      </c>
      <c r="G177" s="26">
        <v>24465</v>
      </c>
      <c r="H177" s="26">
        <v>39492</v>
      </c>
      <c r="I177" s="26">
        <v>17948</v>
      </c>
      <c r="J177" s="26">
        <v>21506</v>
      </c>
      <c r="K177" s="26"/>
      <c r="L177" s="26"/>
      <c r="M177" s="26"/>
      <c r="N177" s="26"/>
      <c r="O177" s="26"/>
      <c r="P177" s="26"/>
      <c r="Q177" s="26"/>
      <c r="R177" s="18">
        <f t="shared" si="2"/>
        <v>132819</v>
      </c>
    </row>
    <row r="178" spans="1:18" s="2" customFormat="1" ht="15">
      <c r="A178" s="4" t="s">
        <v>300</v>
      </c>
      <c r="B178" s="3" t="s">
        <v>355</v>
      </c>
      <c r="C178" s="4" t="s">
        <v>356</v>
      </c>
      <c r="D178" s="4">
        <v>21.74</v>
      </c>
      <c r="E178" s="28">
        <v>2013</v>
      </c>
      <c r="F178" s="26">
        <v>53548</v>
      </c>
      <c r="G178" s="26">
        <v>69530</v>
      </c>
      <c r="H178" s="26">
        <v>58656</v>
      </c>
      <c r="I178" s="26">
        <v>51048</v>
      </c>
      <c r="J178" s="26">
        <v>56141</v>
      </c>
      <c r="K178" s="26"/>
      <c r="L178" s="26"/>
      <c r="M178" s="26"/>
      <c r="N178" s="26"/>
      <c r="O178" s="26"/>
      <c r="P178" s="26"/>
      <c r="Q178" s="26"/>
      <c r="R178" s="18">
        <f t="shared" si="2"/>
        <v>288923</v>
      </c>
    </row>
    <row r="179" spans="1:18" s="2" customFormat="1" ht="15">
      <c r="A179" s="4" t="s">
        <v>300</v>
      </c>
      <c r="B179" s="3" t="s">
        <v>357</v>
      </c>
      <c r="C179" s="4" t="s">
        <v>358</v>
      </c>
      <c r="D179" s="4">
        <v>15.830000000000002</v>
      </c>
      <c r="E179" s="29">
        <v>2014</v>
      </c>
      <c r="F179" s="26">
        <v>7277</v>
      </c>
      <c r="G179" s="26">
        <v>7340</v>
      </c>
      <c r="H179" s="26">
        <v>8713</v>
      </c>
      <c r="I179" s="26">
        <v>6012</v>
      </c>
      <c r="J179" s="26">
        <v>5423</v>
      </c>
      <c r="K179" s="26"/>
      <c r="L179" s="26"/>
      <c r="M179" s="26"/>
      <c r="N179" s="26"/>
      <c r="O179" s="26"/>
      <c r="P179" s="26"/>
      <c r="Q179" s="26"/>
      <c r="R179" s="18">
        <f t="shared" si="2"/>
        <v>34765</v>
      </c>
    </row>
    <row r="180" spans="1:18" s="2" customFormat="1" ht="15">
      <c r="A180" s="4" t="s">
        <v>300</v>
      </c>
      <c r="B180" s="3" t="s">
        <v>359</v>
      </c>
      <c r="C180" s="4" t="s">
        <v>360</v>
      </c>
      <c r="D180" s="4">
        <v>18.260000000000002</v>
      </c>
      <c r="E180" s="29">
        <v>2013</v>
      </c>
      <c r="F180" s="26">
        <v>54232</v>
      </c>
      <c r="G180" s="26">
        <v>43576</v>
      </c>
      <c r="H180" s="26">
        <v>69161</v>
      </c>
      <c r="I180" s="26">
        <v>50343</v>
      </c>
      <c r="J180" s="26">
        <v>37513</v>
      </c>
      <c r="K180" s="26"/>
      <c r="L180" s="26"/>
      <c r="M180" s="26"/>
      <c r="N180" s="26"/>
      <c r="O180" s="26"/>
      <c r="P180" s="26"/>
      <c r="Q180" s="26"/>
      <c r="R180" s="18">
        <f t="shared" si="2"/>
        <v>254825</v>
      </c>
    </row>
    <row r="181" spans="1:18" s="2" customFormat="1" ht="15">
      <c r="A181" s="4" t="s">
        <v>300</v>
      </c>
      <c r="B181" s="3" t="s">
        <v>361</v>
      </c>
      <c r="C181" s="4" t="s">
        <v>362</v>
      </c>
      <c r="D181" s="4">
        <v>20.350000000000001</v>
      </c>
      <c r="E181" s="29">
        <v>2013</v>
      </c>
      <c r="F181" s="26">
        <v>45858</v>
      </c>
      <c r="G181" s="26">
        <v>54465</v>
      </c>
      <c r="H181" s="26">
        <v>50069</v>
      </c>
      <c r="I181" s="26">
        <v>38524</v>
      </c>
      <c r="J181" s="26">
        <v>45515</v>
      </c>
      <c r="K181" s="26"/>
      <c r="L181" s="26"/>
      <c r="M181" s="26"/>
      <c r="N181" s="26"/>
      <c r="O181" s="26"/>
      <c r="P181" s="26"/>
      <c r="Q181" s="26"/>
      <c r="R181" s="18">
        <f t="shared" si="2"/>
        <v>234431</v>
      </c>
    </row>
    <row r="182" spans="1:18" s="2" customFormat="1" ht="15">
      <c r="A182" s="4" t="s">
        <v>300</v>
      </c>
      <c r="B182" s="3" t="s">
        <v>363</v>
      </c>
      <c r="C182" s="4" t="s">
        <v>364</v>
      </c>
      <c r="D182" s="4">
        <v>19.12</v>
      </c>
      <c r="E182" s="29">
        <v>2013</v>
      </c>
      <c r="F182" s="26">
        <v>44993</v>
      </c>
      <c r="G182" s="26">
        <v>56266</v>
      </c>
      <c r="H182" s="26">
        <v>53435</v>
      </c>
      <c r="I182" s="26">
        <v>44372</v>
      </c>
      <c r="J182" s="26">
        <v>44534</v>
      </c>
      <c r="K182" s="26"/>
      <c r="L182" s="26"/>
      <c r="M182" s="26"/>
      <c r="N182" s="26"/>
      <c r="O182" s="26"/>
      <c r="P182" s="26"/>
      <c r="Q182" s="26"/>
      <c r="R182" s="18">
        <f t="shared" si="2"/>
        <v>243600</v>
      </c>
    </row>
    <row r="183" spans="1:18" s="2" customFormat="1" ht="15">
      <c r="A183" s="4" t="s">
        <v>300</v>
      </c>
      <c r="B183" s="3" t="s">
        <v>365</v>
      </c>
      <c r="C183" s="4" t="s">
        <v>366</v>
      </c>
      <c r="D183" s="4">
        <v>22.37</v>
      </c>
      <c r="E183" s="29">
        <v>2013</v>
      </c>
      <c r="F183" s="26">
        <v>52468</v>
      </c>
      <c r="G183" s="26">
        <v>58260</v>
      </c>
      <c r="H183" s="26">
        <v>51868</v>
      </c>
      <c r="I183" s="26">
        <v>49142</v>
      </c>
      <c r="J183" s="26">
        <v>45755</v>
      </c>
      <c r="K183" s="26"/>
      <c r="L183" s="26"/>
      <c r="M183" s="26"/>
      <c r="N183" s="26"/>
      <c r="O183" s="26"/>
      <c r="P183" s="26"/>
      <c r="Q183" s="26"/>
      <c r="R183" s="18">
        <f t="shared" si="2"/>
        <v>257493</v>
      </c>
    </row>
    <row r="184" spans="1:18" s="2" customFormat="1" ht="15">
      <c r="A184" s="4" t="s">
        <v>300</v>
      </c>
      <c r="B184" s="3" t="s">
        <v>367</v>
      </c>
      <c r="C184" s="4" t="s">
        <v>368</v>
      </c>
      <c r="D184" s="4">
        <v>20.079999999999998</v>
      </c>
      <c r="E184" s="29">
        <v>2014</v>
      </c>
      <c r="F184" s="26">
        <v>61933</v>
      </c>
      <c r="G184" s="26">
        <v>67675</v>
      </c>
      <c r="H184" s="26">
        <v>61035</v>
      </c>
      <c r="I184" s="26">
        <v>47194</v>
      </c>
      <c r="J184" s="26">
        <v>45446</v>
      </c>
      <c r="K184" s="26"/>
      <c r="L184" s="26"/>
      <c r="M184" s="26"/>
      <c r="N184" s="26"/>
      <c r="O184" s="26"/>
      <c r="P184" s="26"/>
      <c r="Q184" s="26"/>
      <c r="R184" s="18">
        <f t="shared" si="2"/>
        <v>283283</v>
      </c>
    </row>
    <row r="185" spans="1:18" s="2" customFormat="1" ht="15">
      <c r="A185" s="4" t="s">
        <v>300</v>
      </c>
      <c r="B185" s="3" t="s">
        <v>369</v>
      </c>
      <c r="C185" s="4" t="s">
        <v>370</v>
      </c>
      <c r="D185" s="4">
        <v>4.28</v>
      </c>
      <c r="E185" s="29">
        <v>2014</v>
      </c>
      <c r="F185" s="26">
        <v>8216</v>
      </c>
      <c r="G185" s="26">
        <v>10883</v>
      </c>
      <c r="H185" s="26">
        <v>6648</v>
      </c>
      <c r="I185" s="26">
        <v>6698</v>
      </c>
      <c r="J185" s="26">
        <v>5475</v>
      </c>
      <c r="K185" s="26"/>
      <c r="L185" s="26"/>
      <c r="M185" s="26"/>
      <c r="N185" s="26"/>
      <c r="O185" s="26"/>
      <c r="P185" s="26"/>
      <c r="Q185" s="26"/>
      <c r="R185" s="18">
        <f t="shared" si="2"/>
        <v>37920</v>
      </c>
    </row>
    <row r="186" spans="1:18" s="2" customFormat="1" ht="15">
      <c r="A186" s="4" t="s">
        <v>300</v>
      </c>
      <c r="B186" s="3" t="s">
        <v>371</v>
      </c>
      <c r="C186" s="4" t="s">
        <v>372</v>
      </c>
      <c r="D186" s="4">
        <v>3.62</v>
      </c>
      <c r="E186" s="29">
        <v>2014</v>
      </c>
      <c r="F186" s="26">
        <v>12105</v>
      </c>
      <c r="G186" s="26">
        <v>11704</v>
      </c>
      <c r="H186" s="26">
        <v>8859</v>
      </c>
      <c r="I186" s="26">
        <v>10691</v>
      </c>
      <c r="J186" s="26">
        <v>8307</v>
      </c>
      <c r="K186" s="26"/>
      <c r="L186" s="26"/>
      <c r="M186" s="26"/>
      <c r="N186" s="26"/>
      <c r="O186" s="26"/>
      <c r="P186" s="26"/>
      <c r="Q186" s="26"/>
      <c r="R186" s="18">
        <f t="shared" si="2"/>
        <v>51666</v>
      </c>
    </row>
    <row r="187" spans="1:18" s="2" customFormat="1" ht="15">
      <c r="A187" s="4" t="s">
        <v>300</v>
      </c>
      <c r="B187" s="3" t="s">
        <v>373</v>
      </c>
      <c r="C187" s="4" t="s">
        <v>374</v>
      </c>
      <c r="D187" s="4">
        <v>7.23</v>
      </c>
      <c r="E187" s="29">
        <v>2014</v>
      </c>
      <c r="F187" s="26">
        <v>19492</v>
      </c>
      <c r="G187" s="26">
        <v>21309</v>
      </c>
      <c r="H187" s="26">
        <v>14518</v>
      </c>
      <c r="I187" s="26">
        <v>17865</v>
      </c>
      <c r="J187" s="26">
        <v>15218</v>
      </c>
      <c r="K187" s="26"/>
      <c r="L187" s="26"/>
      <c r="M187" s="26"/>
      <c r="N187" s="26"/>
      <c r="O187" s="26"/>
      <c r="P187" s="26"/>
      <c r="Q187" s="26"/>
      <c r="R187" s="18">
        <f t="shared" si="2"/>
        <v>88402</v>
      </c>
    </row>
    <row r="188" spans="1:18" s="2" customFormat="1" ht="15">
      <c r="A188" s="4" t="s">
        <v>300</v>
      </c>
      <c r="B188" s="3" t="s">
        <v>375</v>
      </c>
      <c r="C188" s="4" t="s">
        <v>376</v>
      </c>
      <c r="D188" s="4">
        <v>10.28</v>
      </c>
      <c r="E188" s="29">
        <v>2014</v>
      </c>
      <c r="F188" s="26">
        <v>27382</v>
      </c>
      <c r="G188" s="26">
        <v>30079</v>
      </c>
      <c r="H188" s="26">
        <v>21958</v>
      </c>
      <c r="I188" s="26">
        <v>27665</v>
      </c>
      <c r="J188" s="26">
        <v>22537</v>
      </c>
      <c r="K188" s="26"/>
      <c r="L188" s="26"/>
      <c r="M188" s="26"/>
      <c r="N188" s="26"/>
      <c r="O188" s="26"/>
      <c r="P188" s="26"/>
      <c r="Q188" s="26"/>
      <c r="R188" s="18">
        <f t="shared" si="2"/>
        <v>129621</v>
      </c>
    </row>
    <row r="189" spans="1:18" s="2" customFormat="1" ht="15">
      <c r="A189" s="4" t="s">
        <v>300</v>
      </c>
      <c r="B189" s="3" t="s">
        <v>377</v>
      </c>
      <c r="C189" s="4" t="s">
        <v>378</v>
      </c>
      <c r="D189" s="4">
        <v>12.5</v>
      </c>
      <c r="E189" s="29">
        <v>2014</v>
      </c>
      <c r="F189" s="26">
        <v>30020</v>
      </c>
      <c r="G189" s="26">
        <v>31270</v>
      </c>
      <c r="H189" s="26">
        <v>23497</v>
      </c>
      <c r="I189" s="26">
        <v>29331</v>
      </c>
      <c r="J189" s="26">
        <v>21153</v>
      </c>
      <c r="K189" s="26"/>
      <c r="L189" s="26"/>
      <c r="M189" s="26"/>
      <c r="N189" s="26"/>
      <c r="O189" s="26"/>
      <c r="P189" s="26"/>
      <c r="Q189" s="26"/>
      <c r="R189" s="18">
        <f t="shared" si="2"/>
        <v>135271</v>
      </c>
    </row>
    <row r="190" spans="1:18" s="2" customFormat="1" ht="15">
      <c r="A190" s="4" t="s">
        <v>300</v>
      </c>
      <c r="B190" s="3" t="s">
        <v>379</v>
      </c>
      <c r="C190" s="4" t="s">
        <v>380</v>
      </c>
      <c r="D190" s="4">
        <v>18.78</v>
      </c>
      <c r="E190" s="29">
        <v>2014</v>
      </c>
      <c r="F190" s="26">
        <v>48007</v>
      </c>
      <c r="G190" s="26">
        <v>60019</v>
      </c>
      <c r="H190" s="26">
        <v>46748</v>
      </c>
      <c r="I190" s="26">
        <v>50109</v>
      </c>
      <c r="J190" s="26">
        <v>39674</v>
      </c>
      <c r="K190" s="26"/>
      <c r="L190" s="26"/>
      <c r="M190" s="26"/>
      <c r="N190" s="26"/>
      <c r="O190" s="26"/>
      <c r="P190" s="26"/>
      <c r="Q190" s="26"/>
      <c r="R190" s="18">
        <f t="shared" si="2"/>
        <v>244557</v>
      </c>
    </row>
    <row r="191" spans="1:18" s="2" customFormat="1" ht="15">
      <c r="A191" s="4" t="s">
        <v>300</v>
      </c>
      <c r="B191" s="3" t="s">
        <v>381</v>
      </c>
      <c r="C191" s="4" t="s">
        <v>382</v>
      </c>
      <c r="D191" s="4">
        <v>18.8</v>
      </c>
      <c r="E191" s="29">
        <v>2014</v>
      </c>
      <c r="F191" s="26">
        <v>40393</v>
      </c>
      <c r="G191" s="26">
        <v>47783</v>
      </c>
      <c r="H191" s="26">
        <v>36068</v>
      </c>
      <c r="I191" s="26">
        <v>44704</v>
      </c>
      <c r="J191" s="26">
        <v>40382</v>
      </c>
      <c r="K191" s="26"/>
      <c r="L191" s="26"/>
      <c r="M191" s="26"/>
      <c r="N191" s="26"/>
      <c r="O191" s="26"/>
      <c r="P191" s="26"/>
      <c r="Q191" s="26"/>
      <c r="R191" s="18">
        <f t="shared" si="2"/>
        <v>209330</v>
      </c>
    </row>
    <row r="192" spans="1:18" s="2" customFormat="1" ht="15">
      <c r="A192" s="4" t="s">
        <v>300</v>
      </c>
      <c r="B192" s="3">
        <v>394</v>
      </c>
      <c r="C192" s="4" t="s">
        <v>383</v>
      </c>
      <c r="D192" s="4">
        <v>30.1</v>
      </c>
      <c r="E192" s="29">
        <v>2014</v>
      </c>
      <c r="F192" s="26">
        <v>65297</v>
      </c>
      <c r="G192" s="26">
        <v>72691</v>
      </c>
      <c r="H192" s="26">
        <v>69949</v>
      </c>
      <c r="I192" s="26">
        <v>51907</v>
      </c>
      <c r="J192" s="26">
        <v>59139</v>
      </c>
      <c r="K192" s="26"/>
      <c r="L192" s="26"/>
      <c r="M192" s="26"/>
      <c r="N192" s="26"/>
      <c r="O192" s="26"/>
      <c r="P192" s="26"/>
      <c r="Q192" s="26"/>
      <c r="R192" s="18">
        <f t="shared" si="2"/>
        <v>318983</v>
      </c>
    </row>
    <row r="193" spans="1:18" s="2" customFormat="1" ht="15">
      <c r="A193" s="4" t="s">
        <v>300</v>
      </c>
      <c r="B193" s="3">
        <v>240</v>
      </c>
      <c r="C193" s="4" t="s">
        <v>384</v>
      </c>
      <c r="D193" s="4">
        <v>3.72</v>
      </c>
      <c r="E193" s="29">
        <v>2015</v>
      </c>
      <c r="F193" s="26">
        <v>5701</v>
      </c>
      <c r="G193" s="26">
        <v>6142</v>
      </c>
      <c r="H193" s="26">
        <v>4516</v>
      </c>
      <c r="I193" s="26">
        <v>4312</v>
      </c>
      <c r="J193" s="26">
        <v>3473</v>
      </c>
      <c r="K193" s="26"/>
      <c r="L193" s="26"/>
      <c r="M193" s="26"/>
      <c r="N193" s="26"/>
      <c r="O193" s="26"/>
      <c r="P193" s="26"/>
      <c r="Q193" s="26"/>
      <c r="R193" s="18">
        <f t="shared" si="2"/>
        <v>24144</v>
      </c>
    </row>
    <row r="194" spans="1:18" s="2" customFormat="1" ht="15">
      <c r="A194" s="4" t="s">
        <v>385</v>
      </c>
      <c r="B194" s="3" t="s">
        <v>386</v>
      </c>
      <c r="C194" s="4" t="s">
        <v>387</v>
      </c>
      <c r="D194" s="4">
        <v>17.84</v>
      </c>
      <c r="E194" s="29">
        <v>2014</v>
      </c>
      <c r="F194" s="26">
        <v>32443</v>
      </c>
      <c r="G194" s="26">
        <v>32830</v>
      </c>
      <c r="H194" s="26">
        <v>31152</v>
      </c>
      <c r="I194" s="26">
        <v>31528</v>
      </c>
      <c r="J194" s="26">
        <v>20390</v>
      </c>
      <c r="K194" s="26"/>
      <c r="L194" s="26"/>
      <c r="M194" s="26"/>
      <c r="N194" s="26"/>
      <c r="O194" s="26"/>
      <c r="P194" s="26"/>
      <c r="Q194" s="26"/>
      <c r="R194" s="18">
        <f t="shared" si="2"/>
        <v>148343</v>
      </c>
    </row>
    <row r="195" spans="1:18" s="2" customFormat="1" ht="15">
      <c r="A195" s="4" t="s">
        <v>385</v>
      </c>
      <c r="B195" s="3" t="s">
        <v>388</v>
      </c>
      <c r="C195" s="4" t="s">
        <v>389</v>
      </c>
      <c r="D195" s="4">
        <v>18.760000000000002</v>
      </c>
      <c r="E195" s="29">
        <v>2014</v>
      </c>
      <c r="F195" s="26">
        <v>36651</v>
      </c>
      <c r="G195" s="26">
        <v>40306</v>
      </c>
      <c r="H195" s="26">
        <v>35277</v>
      </c>
      <c r="I195" s="26">
        <v>35510</v>
      </c>
      <c r="J195" s="26">
        <v>25939</v>
      </c>
      <c r="K195" s="26"/>
      <c r="L195" s="26"/>
      <c r="M195" s="26"/>
      <c r="N195" s="26"/>
      <c r="O195" s="26"/>
      <c r="P195" s="26"/>
      <c r="Q195" s="26"/>
      <c r="R195" s="18">
        <f t="shared" ref="R195:R258" si="3">SUM(F195:Q195)</f>
        <v>173683</v>
      </c>
    </row>
    <row r="196" spans="1:18" s="2" customFormat="1" ht="15">
      <c r="A196" s="4" t="s">
        <v>385</v>
      </c>
      <c r="B196" s="3" t="s">
        <v>390</v>
      </c>
      <c r="C196" s="4" t="s">
        <v>391</v>
      </c>
      <c r="D196" s="4">
        <v>19.850000000000001</v>
      </c>
      <c r="E196" s="29">
        <v>2014</v>
      </c>
      <c r="F196" s="26">
        <v>30731</v>
      </c>
      <c r="G196" s="26">
        <v>46226</v>
      </c>
      <c r="H196" s="26">
        <v>36996</v>
      </c>
      <c r="I196" s="26">
        <v>40476</v>
      </c>
      <c r="J196" s="26">
        <v>25327</v>
      </c>
      <c r="K196" s="26"/>
      <c r="L196" s="26"/>
      <c r="M196" s="26"/>
      <c r="N196" s="26"/>
      <c r="O196" s="26"/>
      <c r="P196" s="26"/>
      <c r="Q196" s="26"/>
      <c r="R196" s="18">
        <f t="shared" si="3"/>
        <v>179756</v>
      </c>
    </row>
    <row r="197" spans="1:18" s="2" customFormat="1" ht="15">
      <c r="A197" s="4" t="s">
        <v>385</v>
      </c>
      <c r="B197" s="3" t="s">
        <v>392</v>
      </c>
      <c r="C197" s="4" t="s">
        <v>393</v>
      </c>
      <c r="D197" s="4">
        <v>18.52</v>
      </c>
      <c r="E197" s="29">
        <v>2014</v>
      </c>
      <c r="F197" s="26">
        <v>35191</v>
      </c>
      <c r="G197" s="26">
        <v>58740</v>
      </c>
      <c r="H197" s="26">
        <v>43987</v>
      </c>
      <c r="I197" s="26">
        <v>43340</v>
      </c>
      <c r="J197" s="26">
        <v>29895</v>
      </c>
      <c r="K197" s="26"/>
      <c r="L197" s="26"/>
      <c r="M197" s="26"/>
      <c r="N197" s="26"/>
      <c r="O197" s="26"/>
      <c r="P197" s="26"/>
      <c r="Q197" s="26"/>
      <c r="R197" s="18">
        <f t="shared" si="3"/>
        <v>211153</v>
      </c>
    </row>
    <row r="198" spans="1:18" s="2" customFormat="1" ht="15">
      <c r="A198" s="4" t="s">
        <v>385</v>
      </c>
      <c r="B198" s="3" t="s">
        <v>394</v>
      </c>
      <c r="C198" s="4" t="s">
        <v>395</v>
      </c>
      <c r="D198" s="4">
        <v>22.97</v>
      </c>
      <c r="E198" s="29">
        <v>2014</v>
      </c>
      <c r="F198" s="26">
        <v>41172</v>
      </c>
      <c r="G198" s="26">
        <v>58963</v>
      </c>
      <c r="H198" s="26">
        <v>38247</v>
      </c>
      <c r="I198" s="26">
        <v>43014</v>
      </c>
      <c r="J198" s="26">
        <v>42734</v>
      </c>
      <c r="K198" s="26"/>
      <c r="L198" s="26"/>
      <c r="M198" s="26"/>
      <c r="N198" s="26"/>
      <c r="O198" s="26"/>
      <c r="P198" s="26"/>
      <c r="Q198" s="26"/>
      <c r="R198" s="18">
        <f t="shared" si="3"/>
        <v>224130</v>
      </c>
    </row>
    <row r="199" spans="1:18" s="2" customFormat="1" ht="15">
      <c r="A199" s="4" t="s">
        <v>385</v>
      </c>
      <c r="B199" s="3" t="s">
        <v>396</v>
      </c>
      <c r="C199" s="4" t="s">
        <v>397</v>
      </c>
      <c r="D199" s="4">
        <v>14.4</v>
      </c>
      <c r="E199" s="29">
        <v>2015</v>
      </c>
      <c r="F199" s="26">
        <v>28242</v>
      </c>
      <c r="G199" s="26">
        <v>40886</v>
      </c>
      <c r="H199" s="26">
        <v>25761</v>
      </c>
      <c r="I199" s="26">
        <v>27654</v>
      </c>
      <c r="J199" s="26">
        <v>30543</v>
      </c>
      <c r="K199" s="26"/>
      <c r="L199" s="26"/>
      <c r="M199" s="26"/>
      <c r="N199" s="26"/>
      <c r="O199" s="26"/>
      <c r="P199" s="26"/>
      <c r="Q199" s="26"/>
      <c r="R199" s="18">
        <f t="shared" si="3"/>
        <v>153086</v>
      </c>
    </row>
    <row r="200" spans="1:18" s="2" customFormat="1" ht="15">
      <c r="A200" s="4" t="s">
        <v>385</v>
      </c>
      <c r="B200" s="3" t="s">
        <v>398</v>
      </c>
      <c r="C200" s="4" t="s">
        <v>399</v>
      </c>
      <c r="D200" s="4">
        <v>9.32</v>
      </c>
      <c r="E200" s="29">
        <v>2014</v>
      </c>
      <c r="F200" s="26">
        <v>21930</v>
      </c>
      <c r="G200" s="26">
        <v>20737</v>
      </c>
      <c r="H200" s="26">
        <v>19394</v>
      </c>
      <c r="I200" s="26">
        <v>17128</v>
      </c>
      <c r="J200" s="26">
        <v>12139</v>
      </c>
      <c r="K200" s="26"/>
      <c r="L200" s="26"/>
      <c r="M200" s="26"/>
      <c r="N200" s="26"/>
      <c r="O200" s="26"/>
      <c r="P200" s="26"/>
      <c r="Q200" s="26"/>
      <c r="R200" s="18">
        <f t="shared" si="3"/>
        <v>91328</v>
      </c>
    </row>
    <row r="201" spans="1:18" s="2" customFormat="1" ht="15">
      <c r="A201" s="4" t="s">
        <v>385</v>
      </c>
      <c r="B201" s="3" t="s">
        <v>400</v>
      </c>
      <c r="C201" s="4" t="s">
        <v>401</v>
      </c>
      <c r="D201" s="4">
        <v>13.92</v>
      </c>
      <c r="E201" s="29">
        <v>2014</v>
      </c>
      <c r="F201" s="26">
        <v>30793</v>
      </c>
      <c r="G201" s="26">
        <v>27887</v>
      </c>
      <c r="H201" s="26">
        <v>24396</v>
      </c>
      <c r="I201" s="26">
        <v>19871</v>
      </c>
      <c r="J201" s="26">
        <v>12780</v>
      </c>
      <c r="K201" s="26"/>
      <c r="L201" s="26"/>
      <c r="M201" s="26"/>
      <c r="N201" s="26"/>
      <c r="O201" s="26"/>
      <c r="P201" s="26"/>
      <c r="Q201" s="26"/>
      <c r="R201" s="18">
        <f t="shared" si="3"/>
        <v>115727</v>
      </c>
    </row>
    <row r="202" spans="1:18" s="2" customFormat="1" ht="15">
      <c r="A202" s="4" t="s">
        <v>385</v>
      </c>
      <c r="B202" s="3" t="s">
        <v>402</v>
      </c>
      <c r="C202" s="4" t="s">
        <v>403</v>
      </c>
      <c r="D202" s="4">
        <v>17.11</v>
      </c>
      <c r="E202" s="29">
        <v>2014</v>
      </c>
      <c r="F202" s="26">
        <v>41036</v>
      </c>
      <c r="G202" s="26">
        <v>33376</v>
      </c>
      <c r="H202" s="26">
        <v>27445</v>
      </c>
      <c r="I202" s="26">
        <v>26172</v>
      </c>
      <c r="J202" s="26">
        <v>16788</v>
      </c>
      <c r="K202" s="26"/>
      <c r="L202" s="26"/>
      <c r="M202" s="26"/>
      <c r="N202" s="26"/>
      <c r="O202" s="26"/>
      <c r="P202" s="26"/>
      <c r="Q202" s="26"/>
      <c r="R202" s="18">
        <f t="shared" si="3"/>
        <v>144817</v>
      </c>
    </row>
    <row r="203" spans="1:18" s="2" customFormat="1" ht="15">
      <c r="A203" s="4" t="s">
        <v>385</v>
      </c>
      <c r="B203" s="3" t="s">
        <v>404</v>
      </c>
      <c r="C203" s="4" t="s">
        <v>405</v>
      </c>
      <c r="D203" s="4">
        <v>18.559999999999999</v>
      </c>
      <c r="E203" s="29">
        <v>2014</v>
      </c>
      <c r="F203" s="26">
        <v>39557</v>
      </c>
      <c r="G203" s="26">
        <v>40482</v>
      </c>
      <c r="H203" s="26">
        <v>39821</v>
      </c>
      <c r="I203" s="26">
        <v>34772</v>
      </c>
      <c r="J203" s="26">
        <v>20271</v>
      </c>
      <c r="K203" s="26"/>
      <c r="L203" s="26"/>
      <c r="M203" s="26"/>
      <c r="N203" s="26"/>
      <c r="O203" s="26"/>
      <c r="P203" s="26"/>
      <c r="Q203" s="26"/>
      <c r="R203" s="18">
        <f t="shared" si="3"/>
        <v>174903</v>
      </c>
    </row>
    <row r="204" spans="1:18" s="2" customFormat="1" ht="15">
      <c r="A204" s="4" t="s">
        <v>385</v>
      </c>
      <c r="B204" s="3" t="s">
        <v>406</v>
      </c>
      <c r="C204" s="4" t="s">
        <v>407</v>
      </c>
      <c r="D204" s="4">
        <v>18.52</v>
      </c>
      <c r="E204" s="29">
        <v>2014</v>
      </c>
      <c r="F204" s="26">
        <v>33577</v>
      </c>
      <c r="G204" s="26">
        <v>30866</v>
      </c>
      <c r="H204" s="26">
        <v>29031</v>
      </c>
      <c r="I204" s="26">
        <v>23416</v>
      </c>
      <c r="J204" s="26">
        <v>17875</v>
      </c>
      <c r="K204" s="26"/>
      <c r="L204" s="26"/>
      <c r="M204" s="26"/>
      <c r="N204" s="26"/>
      <c r="O204" s="26"/>
      <c r="P204" s="26"/>
      <c r="Q204" s="26"/>
      <c r="R204" s="18">
        <f t="shared" si="3"/>
        <v>134765</v>
      </c>
    </row>
    <row r="205" spans="1:18" s="2" customFormat="1" ht="15">
      <c r="A205" s="4" t="s">
        <v>385</v>
      </c>
      <c r="B205" s="3" t="s">
        <v>408</v>
      </c>
      <c r="C205" s="4" t="s">
        <v>409</v>
      </c>
      <c r="D205" s="4">
        <v>19.63</v>
      </c>
      <c r="E205" s="29">
        <v>2014</v>
      </c>
      <c r="F205" s="26">
        <v>36280</v>
      </c>
      <c r="G205" s="26">
        <v>51213</v>
      </c>
      <c r="H205" s="26">
        <v>41844</v>
      </c>
      <c r="I205" s="26">
        <v>40475</v>
      </c>
      <c r="J205" s="26">
        <v>29000</v>
      </c>
      <c r="K205" s="26"/>
      <c r="L205" s="26"/>
      <c r="M205" s="26"/>
      <c r="N205" s="26"/>
      <c r="O205" s="26"/>
      <c r="P205" s="26"/>
      <c r="Q205" s="26"/>
      <c r="R205" s="18">
        <f t="shared" si="3"/>
        <v>198812</v>
      </c>
    </row>
    <row r="206" spans="1:18" s="2" customFormat="1" ht="15">
      <c r="A206" s="4" t="s">
        <v>385</v>
      </c>
      <c r="B206" s="3" t="s">
        <v>410</v>
      </c>
      <c r="C206" s="4" t="s">
        <v>411</v>
      </c>
      <c r="D206" s="4">
        <v>6.38</v>
      </c>
      <c r="E206" s="29">
        <v>2014</v>
      </c>
      <c r="F206" s="26">
        <v>14352</v>
      </c>
      <c r="G206" s="26">
        <v>17334</v>
      </c>
      <c r="H206" s="26">
        <v>13727</v>
      </c>
      <c r="I206" s="26">
        <v>9643</v>
      </c>
      <c r="J206" s="26">
        <v>12566</v>
      </c>
      <c r="K206" s="26"/>
      <c r="L206" s="26"/>
      <c r="M206" s="26"/>
      <c r="N206" s="26"/>
      <c r="O206" s="26"/>
      <c r="P206" s="26"/>
      <c r="Q206" s="26"/>
      <c r="R206" s="18">
        <f t="shared" si="3"/>
        <v>67622</v>
      </c>
    </row>
    <row r="207" spans="1:18" s="2" customFormat="1" ht="15">
      <c r="A207" s="4" t="s">
        <v>385</v>
      </c>
      <c r="B207" s="3" t="s">
        <v>412</v>
      </c>
      <c r="C207" s="4" t="s">
        <v>413</v>
      </c>
      <c r="D207" s="4">
        <v>3.51</v>
      </c>
      <c r="E207" s="29">
        <v>2014</v>
      </c>
      <c r="F207" s="26">
        <v>8466</v>
      </c>
      <c r="G207" s="26">
        <v>10153</v>
      </c>
      <c r="H207" s="26">
        <v>8458</v>
      </c>
      <c r="I207" s="26">
        <v>7145</v>
      </c>
      <c r="J207" s="26">
        <v>6755</v>
      </c>
      <c r="K207" s="26"/>
      <c r="L207" s="26"/>
      <c r="M207" s="26"/>
      <c r="N207" s="26"/>
      <c r="O207" s="26"/>
      <c r="P207" s="26"/>
      <c r="Q207" s="26"/>
      <c r="R207" s="18">
        <f t="shared" si="3"/>
        <v>40977</v>
      </c>
    </row>
    <row r="208" spans="1:18" s="2" customFormat="1" ht="15">
      <c r="A208" s="4" t="s">
        <v>385</v>
      </c>
      <c r="B208" s="3" t="s">
        <v>414</v>
      </c>
      <c r="C208" s="4" t="s">
        <v>415</v>
      </c>
      <c r="D208" s="4">
        <v>0.59</v>
      </c>
      <c r="E208" s="29">
        <v>2014</v>
      </c>
      <c r="F208" s="26">
        <v>956</v>
      </c>
      <c r="G208" s="26">
        <v>1398</v>
      </c>
      <c r="H208" s="26">
        <v>1052</v>
      </c>
      <c r="I208" s="26">
        <v>754</v>
      </c>
      <c r="J208" s="26">
        <v>833</v>
      </c>
      <c r="K208" s="26"/>
      <c r="L208" s="26"/>
      <c r="M208" s="26"/>
      <c r="N208" s="26"/>
      <c r="O208" s="26"/>
      <c r="P208" s="26"/>
      <c r="Q208" s="26"/>
      <c r="R208" s="18">
        <f t="shared" si="3"/>
        <v>4993</v>
      </c>
    </row>
    <row r="209" spans="1:18" s="2" customFormat="1" ht="15">
      <c r="A209" s="4" t="s">
        <v>385</v>
      </c>
      <c r="B209" s="3" t="s">
        <v>416</v>
      </c>
      <c r="C209" s="4" t="s">
        <v>417</v>
      </c>
      <c r="D209" s="4">
        <v>18.59</v>
      </c>
      <c r="E209" s="29">
        <v>2014</v>
      </c>
      <c r="F209" s="26">
        <v>34899</v>
      </c>
      <c r="G209" s="26">
        <v>48756</v>
      </c>
      <c r="H209" s="26">
        <v>38287</v>
      </c>
      <c r="I209" s="26">
        <v>34641</v>
      </c>
      <c r="J209" s="26">
        <v>31368</v>
      </c>
      <c r="K209" s="26"/>
      <c r="L209" s="26"/>
      <c r="M209" s="26"/>
      <c r="N209" s="26"/>
      <c r="O209" s="26"/>
      <c r="P209" s="26"/>
      <c r="Q209" s="26"/>
      <c r="R209" s="18">
        <f t="shared" si="3"/>
        <v>187951</v>
      </c>
    </row>
    <row r="210" spans="1:18" s="2" customFormat="1" ht="15">
      <c r="A210" s="4" t="s">
        <v>385</v>
      </c>
      <c r="B210" s="3" t="s">
        <v>418</v>
      </c>
      <c r="C210" s="4" t="s">
        <v>419</v>
      </c>
      <c r="D210" s="4">
        <v>18.5</v>
      </c>
      <c r="E210" s="29">
        <v>2014</v>
      </c>
      <c r="F210" s="26">
        <v>44322</v>
      </c>
      <c r="G210" s="26">
        <v>50452</v>
      </c>
      <c r="H210" s="26">
        <v>35128</v>
      </c>
      <c r="I210" s="26">
        <v>34451</v>
      </c>
      <c r="J210" s="26">
        <v>37050</v>
      </c>
      <c r="K210" s="26"/>
      <c r="L210" s="26"/>
      <c r="M210" s="26"/>
      <c r="N210" s="26"/>
      <c r="O210" s="26"/>
      <c r="P210" s="26"/>
      <c r="Q210" s="26"/>
      <c r="R210" s="18">
        <f t="shared" si="3"/>
        <v>201403</v>
      </c>
    </row>
    <row r="211" spans="1:18" s="2" customFormat="1" ht="15">
      <c r="A211" s="4" t="s">
        <v>385</v>
      </c>
      <c r="B211" s="3" t="s">
        <v>420</v>
      </c>
      <c r="C211" s="4" t="s">
        <v>421</v>
      </c>
      <c r="D211" s="4">
        <v>18.05</v>
      </c>
      <c r="E211" s="29">
        <v>2014</v>
      </c>
      <c r="F211" s="26">
        <v>44623</v>
      </c>
      <c r="G211" s="26">
        <v>48637</v>
      </c>
      <c r="H211" s="26">
        <v>33122</v>
      </c>
      <c r="I211" s="26">
        <v>30843</v>
      </c>
      <c r="J211" s="26">
        <v>33546</v>
      </c>
      <c r="K211" s="26"/>
      <c r="L211" s="26"/>
      <c r="M211" s="26"/>
      <c r="N211" s="26"/>
      <c r="O211" s="26"/>
      <c r="P211" s="26"/>
      <c r="Q211" s="26"/>
      <c r="R211" s="18">
        <f t="shared" si="3"/>
        <v>190771</v>
      </c>
    </row>
    <row r="212" spans="1:18" s="2" customFormat="1" ht="15">
      <c r="A212" s="4" t="s">
        <v>385</v>
      </c>
      <c r="B212" s="3" t="s">
        <v>422</v>
      </c>
      <c r="C212" s="4" t="s">
        <v>423</v>
      </c>
      <c r="D212" s="4">
        <v>17.260000000000002</v>
      </c>
      <c r="E212" s="29">
        <v>2014</v>
      </c>
      <c r="F212" s="26">
        <v>36898</v>
      </c>
      <c r="G212" s="26">
        <v>39687</v>
      </c>
      <c r="H212" s="26">
        <v>23593</v>
      </c>
      <c r="I212" s="26">
        <v>25613</v>
      </c>
      <c r="J212" s="26">
        <v>25594</v>
      </c>
      <c r="K212" s="26"/>
      <c r="L212" s="26"/>
      <c r="M212" s="26"/>
      <c r="N212" s="26"/>
      <c r="O212" s="26"/>
      <c r="P212" s="26"/>
      <c r="Q212" s="26"/>
      <c r="R212" s="18">
        <f t="shared" si="3"/>
        <v>151385</v>
      </c>
    </row>
    <row r="213" spans="1:18" s="2" customFormat="1" ht="15">
      <c r="A213" s="4" t="s">
        <v>385</v>
      </c>
      <c r="B213" s="3" t="s">
        <v>424</v>
      </c>
      <c r="C213" s="4" t="s">
        <v>425</v>
      </c>
      <c r="D213" s="4">
        <v>13.12</v>
      </c>
      <c r="E213" s="29">
        <v>2014</v>
      </c>
      <c r="F213" s="26">
        <v>34064</v>
      </c>
      <c r="G213" s="26">
        <v>35705</v>
      </c>
      <c r="H213" s="26">
        <v>24111</v>
      </c>
      <c r="I213" s="26">
        <v>22942</v>
      </c>
      <c r="J213" s="26">
        <v>22426</v>
      </c>
      <c r="K213" s="26"/>
      <c r="L213" s="26"/>
      <c r="M213" s="26"/>
      <c r="N213" s="26"/>
      <c r="O213" s="26"/>
      <c r="P213" s="26"/>
      <c r="Q213" s="26"/>
      <c r="R213" s="18">
        <f t="shared" si="3"/>
        <v>139248</v>
      </c>
    </row>
    <row r="214" spans="1:18" s="2" customFormat="1" ht="15">
      <c r="A214" s="4" t="s">
        <v>385</v>
      </c>
      <c r="B214" s="3" t="s">
        <v>426</v>
      </c>
      <c r="C214" s="4" t="s">
        <v>427</v>
      </c>
      <c r="D214" s="4">
        <v>11.11</v>
      </c>
      <c r="E214" s="29">
        <v>2014</v>
      </c>
      <c r="F214" s="26">
        <v>21544</v>
      </c>
      <c r="G214" s="26">
        <v>26259</v>
      </c>
      <c r="H214" s="26">
        <v>18781</v>
      </c>
      <c r="I214" s="26">
        <v>20544</v>
      </c>
      <c r="J214" s="26">
        <v>20660</v>
      </c>
      <c r="K214" s="26"/>
      <c r="L214" s="26"/>
      <c r="M214" s="26"/>
      <c r="N214" s="26"/>
      <c r="O214" s="26"/>
      <c r="P214" s="26"/>
      <c r="Q214" s="26"/>
      <c r="R214" s="18">
        <f t="shared" si="3"/>
        <v>107788</v>
      </c>
    </row>
    <row r="215" spans="1:18" s="2" customFormat="1" ht="15">
      <c r="A215" s="4" t="s">
        <v>385</v>
      </c>
      <c r="B215" s="3" t="s">
        <v>428</v>
      </c>
      <c r="C215" s="4" t="s">
        <v>429</v>
      </c>
      <c r="D215" s="4">
        <v>7.62</v>
      </c>
      <c r="E215" s="29">
        <v>2014</v>
      </c>
      <c r="F215" s="26">
        <v>16997</v>
      </c>
      <c r="G215" s="26">
        <v>18492</v>
      </c>
      <c r="H215" s="26">
        <v>14024</v>
      </c>
      <c r="I215" s="26">
        <v>11413</v>
      </c>
      <c r="J215" s="26">
        <v>10469</v>
      </c>
      <c r="K215" s="26"/>
      <c r="L215" s="26"/>
      <c r="M215" s="26"/>
      <c r="N215" s="26"/>
      <c r="O215" s="26"/>
      <c r="P215" s="26"/>
      <c r="Q215" s="26"/>
      <c r="R215" s="18">
        <f t="shared" si="3"/>
        <v>71395</v>
      </c>
    </row>
    <row r="216" spans="1:18" s="2" customFormat="1" ht="15">
      <c r="A216" s="4" t="s">
        <v>385</v>
      </c>
      <c r="B216" s="3" t="s">
        <v>430</v>
      </c>
      <c r="C216" s="4" t="s">
        <v>431</v>
      </c>
      <c r="D216" s="4">
        <v>19.48</v>
      </c>
      <c r="E216" s="29">
        <v>2014</v>
      </c>
      <c r="F216" s="26">
        <v>33462</v>
      </c>
      <c r="G216" s="26">
        <v>36861</v>
      </c>
      <c r="H216" s="26">
        <v>35629</v>
      </c>
      <c r="I216" s="26">
        <v>31379</v>
      </c>
      <c r="J216" s="26">
        <v>28003</v>
      </c>
      <c r="K216" s="26"/>
      <c r="L216" s="26"/>
      <c r="M216" s="26"/>
      <c r="N216" s="26"/>
      <c r="O216" s="26"/>
      <c r="P216" s="26"/>
      <c r="Q216" s="26"/>
      <c r="R216" s="18">
        <f t="shared" si="3"/>
        <v>165334</v>
      </c>
    </row>
    <row r="217" spans="1:18" s="2" customFormat="1" ht="15">
      <c r="A217" s="4" t="s">
        <v>385</v>
      </c>
      <c r="B217" s="3" t="s">
        <v>432</v>
      </c>
      <c r="C217" s="4" t="s">
        <v>433</v>
      </c>
      <c r="D217" s="4">
        <v>18.559999999999999</v>
      </c>
      <c r="E217" s="29">
        <v>2014</v>
      </c>
      <c r="F217" s="26">
        <v>34355</v>
      </c>
      <c r="G217" s="26">
        <v>29913</v>
      </c>
      <c r="H217" s="26">
        <v>26859</v>
      </c>
      <c r="I217" s="26">
        <v>25463</v>
      </c>
      <c r="J217" s="26">
        <v>23781</v>
      </c>
      <c r="K217" s="26"/>
      <c r="L217" s="26"/>
      <c r="M217" s="26"/>
      <c r="N217" s="26"/>
      <c r="O217" s="26"/>
      <c r="P217" s="26"/>
      <c r="Q217" s="26"/>
      <c r="R217" s="18">
        <f t="shared" si="3"/>
        <v>140371</v>
      </c>
    </row>
    <row r="218" spans="1:18" s="2" customFormat="1" ht="15">
      <c r="A218" s="4" t="s">
        <v>385</v>
      </c>
      <c r="B218" s="3" t="s">
        <v>434</v>
      </c>
      <c r="C218" s="4" t="s">
        <v>435</v>
      </c>
      <c r="D218" s="4">
        <v>5.31</v>
      </c>
      <c r="E218" s="29">
        <v>2014</v>
      </c>
      <c r="F218" s="26">
        <v>9877</v>
      </c>
      <c r="G218" s="26">
        <v>11487</v>
      </c>
      <c r="H218" s="26">
        <v>6445</v>
      </c>
      <c r="I218" s="26">
        <v>6264</v>
      </c>
      <c r="J218" s="26">
        <v>5284</v>
      </c>
      <c r="K218" s="26"/>
      <c r="L218" s="26"/>
      <c r="M218" s="26"/>
      <c r="N218" s="26"/>
      <c r="O218" s="26"/>
      <c r="P218" s="26"/>
      <c r="Q218" s="26"/>
      <c r="R218" s="18">
        <f t="shared" si="3"/>
        <v>39357</v>
      </c>
    </row>
    <row r="219" spans="1:18" s="2" customFormat="1" ht="15">
      <c r="A219" s="4" t="s">
        <v>385</v>
      </c>
      <c r="B219" s="3" t="s">
        <v>436</v>
      </c>
      <c r="C219" s="4" t="s">
        <v>437</v>
      </c>
      <c r="D219" s="4">
        <v>17.329999999999998</v>
      </c>
      <c r="E219" s="29">
        <v>2014</v>
      </c>
      <c r="F219" s="26">
        <v>48211</v>
      </c>
      <c r="G219" s="26">
        <v>43795</v>
      </c>
      <c r="H219" s="26">
        <v>39093</v>
      </c>
      <c r="I219" s="26">
        <v>34969</v>
      </c>
      <c r="J219" s="26">
        <v>20797</v>
      </c>
      <c r="K219" s="26"/>
      <c r="L219" s="26"/>
      <c r="M219" s="26"/>
      <c r="N219" s="26"/>
      <c r="O219" s="26"/>
      <c r="P219" s="26"/>
      <c r="Q219" s="26"/>
      <c r="R219" s="18">
        <f t="shared" si="3"/>
        <v>186865</v>
      </c>
    </row>
    <row r="220" spans="1:18" s="2" customFormat="1" ht="15">
      <c r="A220" s="4" t="s">
        <v>385</v>
      </c>
      <c r="B220" s="3" t="s">
        <v>438</v>
      </c>
      <c r="C220" s="4" t="s">
        <v>439</v>
      </c>
      <c r="D220" s="4">
        <v>18.48</v>
      </c>
      <c r="E220" s="29">
        <v>2014</v>
      </c>
      <c r="F220" s="26">
        <v>35795</v>
      </c>
      <c r="G220" s="26">
        <v>30843</v>
      </c>
      <c r="H220" s="26">
        <v>28991</v>
      </c>
      <c r="I220" s="26">
        <v>26342</v>
      </c>
      <c r="J220" s="26">
        <v>18920</v>
      </c>
      <c r="K220" s="26"/>
      <c r="L220" s="26"/>
      <c r="M220" s="26"/>
      <c r="N220" s="26"/>
      <c r="O220" s="26"/>
      <c r="P220" s="26"/>
      <c r="Q220" s="26"/>
      <c r="R220" s="18">
        <f t="shared" si="3"/>
        <v>140891</v>
      </c>
    </row>
    <row r="221" spans="1:18" s="2" customFormat="1" ht="15">
      <c r="A221" s="4" t="s">
        <v>385</v>
      </c>
      <c r="B221" s="3" t="s">
        <v>440</v>
      </c>
      <c r="C221" s="4" t="s">
        <v>441</v>
      </c>
      <c r="D221" s="4">
        <v>18.98</v>
      </c>
      <c r="E221" s="29">
        <v>2014</v>
      </c>
      <c r="F221" s="26">
        <v>44525</v>
      </c>
      <c r="G221" s="26">
        <v>45687</v>
      </c>
      <c r="H221" s="26">
        <v>41222</v>
      </c>
      <c r="I221" s="26">
        <v>32452</v>
      </c>
      <c r="J221" s="26">
        <v>32001</v>
      </c>
      <c r="K221" s="26"/>
      <c r="L221" s="26"/>
      <c r="M221" s="26"/>
      <c r="N221" s="26"/>
      <c r="O221" s="26"/>
      <c r="P221" s="26"/>
      <c r="Q221" s="26"/>
      <c r="R221" s="18">
        <f t="shared" si="3"/>
        <v>195887</v>
      </c>
    </row>
    <row r="222" spans="1:18" s="2" customFormat="1" ht="15">
      <c r="A222" s="4" t="s">
        <v>385</v>
      </c>
      <c r="B222" s="3" t="s">
        <v>442</v>
      </c>
      <c r="C222" s="4" t="s">
        <v>443</v>
      </c>
      <c r="D222" s="4">
        <v>17.989999999999998</v>
      </c>
      <c r="E222" s="29">
        <v>2014</v>
      </c>
      <c r="F222" s="26">
        <v>40916</v>
      </c>
      <c r="G222" s="26">
        <v>36876</v>
      </c>
      <c r="H222" s="26">
        <v>36524</v>
      </c>
      <c r="I222" s="26">
        <v>31277</v>
      </c>
      <c r="J222" s="26">
        <v>27531</v>
      </c>
      <c r="K222" s="26"/>
      <c r="L222" s="26"/>
      <c r="M222" s="26"/>
      <c r="N222" s="26"/>
      <c r="O222" s="26"/>
      <c r="P222" s="26"/>
      <c r="Q222" s="26"/>
      <c r="R222" s="18">
        <f t="shared" si="3"/>
        <v>173124</v>
      </c>
    </row>
    <row r="223" spans="1:18" s="2" customFormat="1" ht="15">
      <c r="A223" s="4" t="s">
        <v>385</v>
      </c>
      <c r="B223" s="3" t="s">
        <v>444</v>
      </c>
      <c r="C223" s="4" t="s">
        <v>445</v>
      </c>
      <c r="D223" s="4">
        <v>15.06</v>
      </c>
      <c r="E223" s="29">
        <v>2014</v>
      </c>
      <c r="F223" s="26">
        <v>33371</v>
      </c>
      <c r="G223" s="26">
        <v>32507</v>
      </c>
      <c r="H223" s="26">
        <v>33822</v>
      </c>
      <c r="I223" s="26">
        <v>28044</v>
      </c>
      <c r="J223" s="26">
        <v>25497</v>
      </c>
      <c r="K223" s="26"/>
      <c r="L223" s="26"/>
      <c r="M223" s="26"/>
      <c r="N223" s="26"/>
      <c r="O223" s="26"/>
      <c r="P223" s="26"/>
      <c r="Q223" s="26"/>
      <c r="R223" s="18">
        <f t="shared" si="3"/>
        <v>153241</v>
      </c>
    </row>
    <row r="224" spans="1:18" s="2" customFormat="1" ht="15">
      <c r="A224" s="4" t="s">
        <v>385</v>
      </c>
      <c r="B224" s="3" t="s">
        <v>446</v>
      </c>
      <c r="C224" s="4" t="s">
        <v>447</v>
      </c>
      <c r="D224" s="4">
        <v>12.77</v>
      </c>
      <c r="E224" s="29">
        <v>2014</v>
      </c>
      <c r="F224" s="26">
        <v>31054</v>
      </c>
      <c r="G224" s="26">
        <v>28248</v>
      </c>
      <c r="H224" s="26">
        <v>27798</v>
      </c>
      <c r="I224" s="26">
        <v>25168</v>
      </c>
      <c r="J224" s="26">
        <v>16155</v>
      </c>
      <c r="K224" s="26"/>
      <c r="L224" s="26"/>
      <c r="M224" s="26"/>
      <c r="N224" s="26"/>
      <c r="O224" s="26"/>
      <c r="P224" s="26"/>
      <c r="Q224" s="26"/>
      <c r="R224" s="18">
        <f t="shared" si="3"/>
        <v>128423</v>
      </c>
    </row>
    <row r="225" spans="1:18" s="2" customFormat="1" ht="15">
      <c r="A225" s="4" t="s">
        <v>385</v>
      </c>
      <c r="B225" s="3" t="s">
        <v>448</v>
      </c>
      <c r="C225" s="4" t="s">
        <v>449</v>
      </c>
      <c r="D225" s="4">
        <v>10.98</v>
      </c>
      <c r="E225" s="29">
        <v>2014</v>
      </c>
      <c r="F225" s="26">
        <v>21644</v>
      </c>
      <c r="G225" s="26">
        <v>20763</v>
      </c>
      <c r="H225" s="26">
        <v>19429</v>
      </c>
      <c r="I225" s="26">
        <v>15520</v>
      </c>
      <c r="J225" s="26">
        <v>15322</v>
      </c>
      <c r="K225" s="26"/>
      <c r="L225" s="26"/>
      <c r="M225" s="26"/>
      <c r="N225" s="26"/>
      <c r="O225" s="26"/>
      <c r="P225" s="26"/>
      <c r="Q225" s="26"/>
      <c r="R225" s="18">
        <f t="shared" si="3"/>
        <v>92678</v>
      </c>
    </row>
    <row r="226" spans="1:18" s="2" customFormat="1" ht="15">
      <c r="A226" s="4" t="s">
        <v>385</v>
      </c>
      <c r="B226" s="3" t="s">
        <v>450</v>
      </c>
      <c r="C226" s="4" t="s">
        <v>451</v>
      </c>
      <c r="D226" s="4">
        <v>6.73</v>
      </c>
      <c r="E226" s="29">
        <v>2014</v>
      </c>
      <c r="F226" s="26">
        <v>13180</v>
      </c>
      <c r="G226" s="26">
        <v>12928</v>
      </c>
      <c r="H226" s="26">
        <v>11434</v>
      </c>
      <c r="I226" s="26">
        <v>10464</v>
      </c>
      <c r="J226" s="26">
        <v>10971</v>
      </c>
      <c r="K226" s="26"/>
      <c r="L226" s="26"/>
      <c r="M226" s="26"/>
      <c r="N226" s="26"/>
      <c r="O226" s="26"/>
      <c r="P226" s="26"/>
      <c r="Q226" s="26"/>
      <c r="R226" s="18">
        <f t="shared" si="3"/>
        <v>58977</v>
      </c>
    </row>
    <row r="227" spans="1:18" s="2" customFormat="1" ht="15">
      <c r="A227" s="4" t="s">
        <v>385</v>
      </c>
      <c r="B227" s="3" t="s">
        <v>452</v>
      </c>
      <c r="C227" s="4" t="s">
        <v>453</v>
      </c>
      <c r="D227" s="4">
        <v>5.87</v>
      </c>
      <c r="E227" s="29">
        <v>2014</v>
      </c>
      <c r="F227" s="26">
        <v>5641</v>
      </c>
      <c r="G227" s="26">
        <v>5555</v>
      </c>
      <c r="H227" s="26">
        <v>4935</v>
      </c>
      <c r="I227" s="26">
        <v>4910</v>
      </c>
      <c r="J227" s="26">
        <v>5690</v>
      </c>
      <c r="K227" s="26"/>
      <c r="L227" s="26"/>
      <c r="M227" s="26"/>
      <c r="N227" s="26"/>
      <c r="O227" s="26"/>
      <c r="P227" s="26"/>
      <c r="Q227" s="26"/>
      <c r="R227" s="18">
        <f t="shared" si="3"/>
        <v>26731</v>
      </c>
    </row>
    <row r="228" spans="1:18" s="2" customFormat="1" ht="15">
      <c r="A228" s="4" t="s">
        <v>385</v>
      </c>
      <c r="B228" s="3" t="s">
        <v>454</v>
      </c>
      <c r="C228" s="4" t="s">
        <v>455</v>
      </c>
      <c r="D228" s="4">
        <v>19.739999999999998</v>
      </c>
      <c r="E228" s="29">
        <v>2014</v>
      </c>
      <c r="F228" s="26">
        <v>31825</v>
      </c>
      <c r="G228" s="26">
        <v>30944</v>
      </c>
      <c r="H228" s="26">
        <v>27290</v>
      </c>
      <c r="I228" s="26">
        <v>22250</v>
      </c>
      <c r="J228" s="26">
        <v>15099</v>
      </c>
      <c r="K228" s="26"/>
      <c r="L228" s="26"/>
      <c r="M228" s="26"/>
      <c r="N228" s="26"/>
      <c r="O228" s="26"/>
      <c r="P228" s="26"/>
      <c r="Q228" s="26"/>
      <c r="R228" s="18">
        <f t="shared" si="3"/>
        <v>127408</v>
      </c>
    </row>
    <row r="229" spans="1:18" s="2" customFormat="1" ht="15">
      <c r="A229" s="4" t="s">
        <v>385</v>
      </c>
      <c r="B229" s="3" t="s">
        <v>456</v>
      </c>
      <c r="C229" s="4" t="s">
        <v>457</v>
      </c>
      <c r="D229" s="4">
        <v>18.73</v>
      </c>
      <c r="E229" s="29">
        <v>2014</v>
      </c>
      <c r="F229" s="26">
        <v>41432</v>
      </c>
      <c r="G229" s="26">
        <v>39309</v>
      </c>
      <c r="H229" s="26">
        <v>32759</v>
      </c>
      <c r="I229" s="26">
        <v>27524</v>
      </c>
      <c r="J229" s="26">
        <v>16919</v>
      </c>
      <c r="K229" s="26"/>
      <c r="L229" s="26"/>
      <c r="M229" s="26"/>
      <c r="N229" s="26"/>
      <c r="O229" s="26"/>
      <c r="P229" s="26"/>
      <c r="Q229" s="26"/>
      <c r="R229" s="18">
        <f t="shared" si="3"/>
        <v>157943</v>
      </c>
    </row>
    <row r="230" spans="1:18" s="2" customFormat="1" ht="15">
      <c r="A230" s="4" t="s">
        <v>385</v>
      </c>
      <c r="B230" s="3" t="s">
        <v>458</v>
      </c>
      <c r="C230" s="4" t="s">
        <v>459</v>
      </c>
      <c r="D230" s="4">
        <v>20.100000000000001</v>
      </c>
      <c r="E230" s="29">
        <v>2014</v>
      </c>
      <c r="F230" s="26">
        <v>26195</v>
      </c>
      <c r="G230" s="26">
        <v>26335</v>
      </c>
      <c r="H230" s="26">
        <v>25066</v>
      </c>
      <c r="I230" s="26">
        <v>21380</v>
      </c>
      <c r="J230" s="26">
        <v>11962</v>
      </c>
      <c r="K230" s="26"/>
      <c r="L230" s="26"/>
      <c r="M230" s="26"/>
      <c r="N230" s="26"/>
      <c r="O230" s="26"/>
      <c r="P230" s="26"/>
      <c r="Q230" s="26"/>
      <c r="R230" s="18">
        <f t="shared" si="3"/>
        <v>110938</v>
      </c>
    </row>
    <row r="231" spans="1:18" s="2" customFormat="1" ht="15">
      <c r="A231" s="4" t="s">
        <v>385</v>
      </c>
      <c r="B231" s="3" t="s">
        <v>460</v>
      </c>
      <c r="C231" s="4" t="s">
        <v>461</v>
      </c>
      <c r="D231" s="4">
        <v>19.989999999999998</v>
      </c>
      <c r="E231" s="29">
        <v>2014</v>
      </c>
      <c r="F231" s="26">
        <v>38355</v>
      </c>
      <c r="G231" s="26">
        <v>37138</v>
      </c>
      <c r="H231" s="26">
        <v>32625</v>
      </c>
      <c r="I231" s="26">
        <v>27797</v>
      </c>
      <c r="J231" s="26">
        <v>16651</v>
      </c>
      <c r="K231" s="26"/>
      <c r="L231" s="26"/>
      <c r="M231" s="26"/>
      <c r="N231" s="26"/>
      <c r="O231" s="26"/>
      <c r="P231" s="26"/>
      <c r="Q231" s="26"/>
      <c r="R231" s="18">
        <f t="shared" si="3"/>
        <v>152566</v>
      </c>
    </row>
    <row r="232" spans="1:18" s="2" customFormat="1" ht="15">
      <c r="A232" s="4" t="s">
        <v>385</v>
      </c>
      <c r="B232" s="3" t="s">
        <v>462</v>
      </c>
      <c r="C232" s="4" t="s">
        <v>463</v>
      </c>
      <c r="D232" s="4">
        <v>19.010000000000002</v>
      </c>
      <c r="E232" s="29">
        <v>2014</v>
      </c>
      <c r="F232" s="26">
        <v>36269</v>
      </c>
      <c r="G232" s="26">
        <v>35995</v>
      </c>
      <c r="H232" s="26">
        <v>29953</v>
      </c>
      <c r="I232" s="26">
        <v>25345</v>
      </c>
      <c r="J232" s="26">
        <v>15215</v>
      </c>
      <c r="K232" s="26"/>
      <c r="L232" s="26"/>
      <c r="M232" s="26"/>
      <c r="N232" s="26"/>
      <c r="O232" s="26"/>
      <c r="P232" s="26"/>
      <c r="Q232" s="26"/>
      <c r="R232" s="18">
        <f t="shared" si="3"/>
        <v>142777</v>
      </c>
    </row>
    <row r="233" spans="1:18" s="2" customFormat="1" ht="15">
      <c r="A233" s="4" t="s">
        <v>385</v>
      </c>
      <c r="B233" s="3" t="s">
        <v>464</v>
      </c>
      <c r="C233" s="4" t="s">
        <v>465</v>
      </c>
      <c r="D233" s="4">
        <v>7.27</v>
      </c>
      <c r="E233" s="29">
        <v>2014</v>
      </c>
      <c r="F233" s="26">
        <v>16055</v>
      </c>
      <c r="G233" s="26">
        <v>19323</v>
      </c>
      <c r="H233" s="26">
        <v>15577</v>
      </c>
      <c r="I233" s="26">
        <v>11349</v>
      </c>
      <c r="J233" s="26">
        <v>15771</v>
      </c>
      <c r="K233" s="26"/>
      <c r="L233" s="26"/>
      <c r="M233" s="26"/>
      <c r="N233" s="26"/>
      <c r="O233" s="26"/>
      <c r="P233" s="26"/>
      <c r="Q233" s="26"/>
      <c r="R233" s="18">
        <f t="shared" si="3"/>
        <v>78075</v>
      </c>
    </row>
    <row r="234" spans="1:18" s="2" customFormat="1" ht="15">
      <c r="A234" s="4" t="s">
        <v>385</v>
      </c>
      <c r="B234" s="3" t="s">
        <v>466</v>
      </c>
      <c r="C234" s="4" t="s">
        <v>467</v>
      </c>
      <c r="D234" s="4">
        <v>16.05</v>
      </c>
      <c r="E234" s="29">
        <v>2015</v>
      </c>
      <c r="F234" s="26">
        <v>27989</v>
      </c>
      <c r="G234" s="26">
        <v>26969</v>
      </c>
      <c r="H234" s="26">
        <v>26356</v>
      </c>
      <c r="I234" s="26">
        <v>26032</v>
      </c>
      <c r="J234" s="26">
        <v>15090</v>
      </c>
      <c r="K234" s="26"/>
      <c r="L234" s="26"/>
      <c r="M234" s="26"/>
      <c r="N234" s="26"/>
      <c r="O234" s="26"/>
      <c r="P234" s="26"/>
      <c r="Q234" s="26"/>
      <c r="R234" s="18">
        <f t="shared" si="3"/>
        <v>122436</v>
      </c>
    </row>
    <row r="235" spans="1:18" s="2" customFormat="1" ht="15">
      <c r="A235" s="4" t="s">
        <v>385</v>
      </c>
      <c r="B235" s="3" t="s">
        <v>468</v>
      </c>
      <c r="C235" s="4" t="s">
        <v>469</v>
      </c>
      <c r="D235" s="4">
        <v>22.13</v>
      </c>
      <c r="E235" s="29">
        <v>2015</v>
      </c>
      <c r="F235" s="26">
        <v>32390</v>
      </c>
      <c r="G235" s="26">
        <v>31213</v>
      </c>
      <c r="H235" s="26">
        <v>31608</v>
      </c>
      <c r="I235" s="26">
        <v>28460</v>
      </c>
      <c r="J235" s="26">
        <v>17339</v>
      </c>
      <c r="K235" s="26"/>
      <c r="L235" s="26"/>
      <c r="M235" s="26"/>
      <c r="N235" s="26"/>
      <c r="O235" s="26"/>
      <c r="P235" s="26"/>
      <c r="Q235" s="26"/>
      <c r="R235" s="18">
        <f t="shared" si="3"/>
        <v>141010</v>
      </c>
    </row>
    <row r="236" spans="1:18" s="2" customFormat="1" ht="15">
      <c r="A236" s="4" t="s">
        <v>385</v>
      </c>
      <c r="B236" s="3" t="s">
        <v>470</v>
      </c>
      <c r="C236" s="4" t="s">
        <v>471</v>
      </c>
      <c r="D236" s="4">
        <v>20.059999999999999</v>
      </c>
      <c r="E236" s="29">
        <v>2015</v>
      </c>
      <c r="F236" s="26">
        <v>37952</v>
      </c>
      <c r="G236" s="26">
        <v>39342</v>
      </c>
      <c r="H236" s="26">
        <v>34903</v>
      </c>
      <c r="I236" s="26">
        <v>31920</v>
      </c>
      <c r="J236" s="26">
        <v>18139</v>
      </c>
      <c r="K236" s="26"/>
      <c r="L236" s="26"/>
      <c r="M236" s="26"/>
      <c r="N236" s="26"/>
      <c r="O236" s="26"/>
      <c r="P236" s="26"/>
      <c r="Q236" s="26"/>
      <c r="R236" s="18">
        <f t="shared" si="3"/>
        <v>162256</v>
      </c>
    </row>
    <row r="237" spans="1:18" s="2" customFormat="1" ht="15">
      <c r="A237" s="4" t="s">
        <v>385</v>
      </c>
      <c r="B237" s="3" t="s">
        <v>472</v>
      </c>
      <c r="C237" s="4" t="s">
        <v>473</v>
      </c>
      <c r="D237" s="4">
        <v>18.36</v>
      </c>
      <c r="E237" s="29">
        <v>2015</v>
      </c>
      <c r="F237" s="26">
        <v>36694</v>
      </c>
      <c r="G237" s="26">
        <v>33527</v>
      </c>
      <c r="H237" s="26">
        <v>34952</v>
      </c>
      <c r="I237" s="26">
        <v>30951</v>
      </c>
      <c r="J237" s="26">
        <v>19174</v>
      </c>
      <c r="K237" s="26"/>
      <c r="L237" s="26"/>
      <c r="M237" s="26"/>
      <c r="N237" s="26"/>
      <c r="O237" s="26"/>
      <c r="P237" s="26"/>
      <c r="Q237" s="26"/>
      <c r="R237" s="18">
        <f t="shared" si="3"/>
        <v>155298</v>
      </c>
    </row>
    <row r="238" spans="1:18" s="2" customFormat="1" ht="15">
      <c r="A238" s="4" t="s">
        <v>385</v>
      </c>
      <c r="B238" s="3" t="s">
        <v>474</v>
      </c>
      <c r="C238" s="4" t="s">
        <v>475</v>
      </c>
      <c r="D238" s="4">
        <v>19.45</v>
      </c>
      <c r="E238" s="29">
        <v>2015</v>
      </c>
      <c r="F238" s="26">
        <v>34686</v>
      </c>
      <c r="G238" s="26">
        <v>36975</v>
      </c>
      <c r="H238" s="26">
        <v>37147</v>
      </c>
      <c r="I238" s="26">
        <v>32369</v>
      </c>
      <c r="J238" s="26">
        <v>18671</v>
      </c>
      <c r="K238" s="26"/>
      <c r="L238" s="26"/>
      <c r="M238" s="26"/>
      <c r="N238" s="26"/>
      <c r="O238" s="26"/>
      <c r="P238" s="26"/>
      <c r="Q238" s="26"/>
      <c r="R238" s="18">
        <f t="shared" si="3"/>
        <v>159848</v>
      </c>
    </row>
    <row r="239" spans="1:18" s="2" customFormat="1" ht="15">
      <c r="A239" s="4" t="s">
        <v>385</v>
      </c>
      <c r="B239" s="3" t="s">
        <v>476</v>
      </c>
      <c r="C239" s="4" t="s">
        <v>477</v>
      </c>
      <c r="D239" s="4">
        <v>19.18</v>
      </c>
      <c r="E239" s="29">
        <v>2015</v>
      </c>
      <c r="F239" s="26">
        <v>37197</v>
      </c>
      <c r="G239" s="26">
        <v>36317</v>
      </c>
      <c r="H239" s="26">
        <v>36107</v>
      </c>
      <c r="I239" s="26">
        <v>32097</v>
      </c>
      <c r="J239" s="26">
        <v>24400</v>
      </c>
      <c r="K239" s="26"/>
      <c r="L239" s="26"/>
      <c r="M239" s="26"/>
      <c r="N239" s="26"/>
      <c r="O239" s="26"/>
      <c r="P239" s="26"/>
      <c r="Q239" s="26"/>
      <c r="R239" s="18">
        <f t="shared" si="3"/>
        <v>166118</v>
      </c>
    </row>
    <row r="240" spans="1:18" s="2" customFormat="1" ht="15">
      <c r="A240" s="4" t="s">
        <v>385</v>
      </c>
      <c r="B240" s="3" t="s">
        <v>478</v>
      </c>
      <c r="C240" s="4" t="s">
        <v>479</v>
      </c>
      <c r="D240" s="4">
        <v>5.1100000000000003</v>
      </c>
      <c r="E240" s="29">
        <v>2015</v>
      </c>
      <c r="F240" s="26">
        <v>12574</v>
      </c>
      <c r="G240" s="26">
        <v>11491</v>
      </c>
      <c r="H240" s="26">
        <v>10423</v>
      </c>
      <c r="I240" s="26">
        <v>10175</v>
      </c>
      <c r="J240" s="26">
        <v>6364</v>
      </c>
      <c r="K240" s="26"/>
      <c r="L240" s="26"/>
      <c r="M240" s="26"/>
      <c r="N240" s="26"/>
      <c r="O240" s="26"/>
      <c r="P240" s="26"/>
      <c r="Q240" s="26"/>
      <c r="R240" s="18">
        <f t="shared" si="3"/>
        <v>51027</v>
      </c>
    </row>
    <row r="241" spans="1:18" s="2" customFormat="1" ht="15">
      <c r="A241" s="4" t="s">
        <v>385</v>
      </c>
      <c r="B241" s="3" t="s">
        <v>480</v>
      </c>
      <c r="C241" s="4" t="s">
        <v>481</v>
      </c>
      <c r="D241" s="4">
        <v>4.21</v>
      </c>
      <c r="E241" s="29">
        <v>2015</v>
      </c>
      <c r="F241" s="26">
        <v>6293</v>
      </c>
      <c r="G241" s="26">
        <v>6322</v>
      </c>
      <c r="H241" s="26">
        <v>5934</v>
      </c>
      <c r="I241" s="26">
        <v>5920</v>
      </c>
      <c r="J241" s="26">
        <v>4479</v>
      </c>
      <c r="K241" s="26"/>
      <c r="L241" s="26"/>
      <c r="M241" s="26"/>
      <c r="N241" s="26"/>
      <c r="O241" s="26"/>
      <c r="P241" s="26"/>
      <c r="Q241" s="26"/>
      <c r="R241" s="18">
        <f t="shared" si="3"/>
        <v>28948</v>
      </c>
    </row>
    <row r="242" spans="1:18" s="2" customFormat="1" ht="15">
      <c r="A242" s="4" t="s">
        <v>385</v>
      </c>
      <c r="B242" s="3" t="s">
        <v>482</v>
      </c>
      <c r="C242" s="4" t="s">
        <v>483</v>
      </c>
      <c r="D242" s="4">
        <v>8.1199999999999992</v>
      </c>
      <c r="E242" s="29">
        <v>2015</v>
      </c>
      <c r="F242" s="26">
        <v>12519</v>
      </c>
      <c r="G242" s="26">
        <v>13694</v>
      </c>
      <c r="H242" s="26">
        <v>11821</v>
      </c>
      <c r="I242" s="26">
        <v>10729</v>
      </c>
      <c r="J242" s="26">
        <v>7177</v>
      </c>
      <c r="K242" s="26"/>
      <c r="L242" s="26"/>
      <c r="M242" s="26"/>
      <c r="N242" s="26"/>
      <c r="O242" s="26"/>
      <c r="P242" s="26"/>
      <c r="Q242" s="26"/>
      <c r="R242" s="18">
        <f t="shared" si="3"/>
        <v>55940</v>
      </c>
    </row>
    <row r="243" spans="1:18" s="2" customFormat="1" ht="15">
      <c r="A243" s="4" t="s">
        <v>385</v>
      </c>
      <c r="B243" s="3" t="s">
        <v>484</v>
      </c>
      <c r="C243" s="4" t="s">
        <v>485</v>
      </c>
      <c r="D243" s="4">
        <v>22.68</v>
      </c>
      <c r="E243" s="29">
        <v>2015</v>
      </c>
      <c r="F243" s="26">
        <v>39598</v>
      </c>
      <c r="G243" s="26">
        <v>42071</v>
      </c>
      <c r="H243" s="26">
        <v>34213</v>
      </c>
      <c r="I243" s="26">
        <v>36837</v>
      </c>
      <c r="J243" s="26">
        <v>25212</v>
      </c>
      <c r="K243" s="26"/>
      <c r="L243" s="26"/>
      <c r="M243" s="26"/>
      <c r="N243" s="26"/>
      <c r="O243" s="26"/>
      <c r="P243" s="26"/>
      <c r="Q243" s="26"/>
      <c r="R243" s="18">
        <f t="shared" si="3"/>
        <v>177931</v>
      </c>
    </row>
    <row r="244" spans="1:18" s="2" customFormat="1" ht="15">
      <c r="A244" s="4" t="s">
        <v>385</v>
      </c>
      <c r="B244" s="3" t="s">
        <v>486</v>
      </c>
      <c r="C244" s="4" t="s">
        <v>487</v>
      </c>
      <c r="D244" s="4">
        <v>2.17</v>
      </c>
      <c r="E244" s="29">
        <v>2014</v>
      </c>
      <c r="F244" s="26">
        <v>3422</v>
      </c>
      <c r="G244" s="26">
        <v>4437</v>
      </c>
      <c r="H244" s="26">
        <v>2841</v>
      </c>
      <c r="I244" s="26">
        <v>2015</v>
      </c>
      <c r="J244" s="26">
        <v>1987</v>
      </c>
      <c r="K244" s="26"/>
      <c r="L244" s="26"/>
      <c r="M244" s="26"/>
      <c r="N244" s="26"/>
      <c r="O244" s="26"/>
      <c r="P244" s="26"/>
      <c r="Q244" s="26"/>
      <c r="R244" s="18">
        <f t="shared" si="3"/>
        <v>14702</v>
      </c>
    </row>
    <row r="245" spans="1:18" s="2" customFormat="1" ht="15">
      <c r="A245" s="4" t="s">
        <v>385</v>
      </c>
      <c r="B245" s="3" t="s">
        <v>488</v>
      </c>
      <c r="C245" s="4" t="s">
        <v>479</v>
      </c>
      <c r="D245" s="4">
        <v>3.38</v>
      </c>
      <c r="E245" s="29">
        <v>2021</v>
      </c>
      <c r="F245" s="26">
        <v>6510</v>
      </c>
      <c r="G245" s="26">
        <v>11568</v>
      </c>
      <c r="H245" s="26">
        <v>11227</v>
      </c>
      <c r="I245" s="26">
        <v>9395</v>
      </c>
      <c r="J245" s="26">
        <v>6597</v>
      </c>
      <c r="K245" s="26"/>
      <c r="L245" s="26"/>
      <c r="M245" s="26"/>
      <c r="N245" s="26"/>
      <c r="O245" s="26"/>
      <c r="P245" s="26"/>
      <c r="Q245" s="26"/>
      <c r="R245" s="18">
        <f t="shared" si="3"/>
        <v>45297</v>
      </c>
    </row>
    <row r="246" spans="1:18" s="2" customFormat="1" ht="15">
      <c r="A246" s="4" t="s">
        <v>385</v>
      </c>
      <c r="B246" s="3" t="s">
        <v>489</v>
      </c>
      <c r="C246" s="4" t="s">
        <v>479</v>
      </c>
      <c r="D246" s="4">
        <v>13.47</v>
      </c>
      <c r="E246" s="29">
        <v>2022</v>
      </c>
      <c r="F246" s="26">
        <v>5370</v>
      </c>
      <c r="G246" s="26">
        <v>4302</v>
      </c>
      <c r="H246" s="26">
        <v>2804</v>
      </c>
      <c r="I246" s="26">
        <v>3114</v>
      </c>
      <c r="J246" s="26">
        <v>2616</v>
      </c>
      <c r="K246" s="26"/>
      <c r="L246" s="26"/>
      <c r="M246" s="26"/>
      <c r="N246" s="26"/>
      <c r="O246" s="26"/>
      <c r="P246" s="26"/>
      <c r="Q246" s="26"/>
      <c r="R246" s="18">
        <f t="shared" si="3"/>
        <v>18206</v>
      </c>
    </row>
    <row r="247" spans="1:18" s="2" customFormat="1" ht="15">
      <c r="A247" s="4" t="s">
        <v>385</v>
      </c>
      <c r="B247" s="3" t="s">
        <v>490</v>
      </c>
      <c r="C247" s="4" t="s">
        <v>483</v>
      </c>
      <c r="D247" s="4">
        <v>11.31</v>
      </c>
      <c r="E247" s="29">
        <v>2023</v>
      </c>
      <c r="F247" s="26">
        <v>0</v>
      </c>
      <c r="G247" s="26">
        <v>0</v>
      </c>
      <c r="H247" s="26">
        <v>2917</v>
      </c>
      <c r="I247" s="26">
        <v>1187</v>
      </c>
      <c r="J247" s="26">
        <v>1815</v>
      </c>
      <c r="K247" s="26"/>
      <c r="L247" s="26"/>
      <c r="M247" s="26"/>
      <c r="N247" s="26"/>
      <c r="O247" s="26"/>
      <c r="P247" s="26"/>
      <c r="Q247" s="26"/>
      <c r="R247" s="18">
        <f t="shared" si="3"/>
        <v>5919</v>
      </c>
    </row>
    <row r="248" spans="1:18" s="2" customFormat="1" ht="15">
      <c r="A248" s="4" t="s">
        <v>385</v>
      </c>
      <c r="B248" s="3" t="s">
        <v>491</v>
      </c>
      <c r="C248" s="4" t="s">
        <v>481</v>
      </c>
      <c r="D248" s="4">
        <v>14.98</v>
      </c>
      <c r="E248" s="29">
        <v>2023</v>
      </c>
      <c r="F248" s="26">
        <v>0</v>
      </c>
      <c r="G248" s="26">
        <v>0</v>
      </c>
      <c r="H248" s="26">
        <v>52</v>
      </c>
      <c r="I248" s="26">
        <v>127</v>
      </c>
      <c r="J248" s="26">
        <v>1923</v>
      </c>
      <c r="K248" s="26"/>
      <c r="L248" s="26"/>
      <c r="M248" s="26"/>
      <c r="N248" s="26"/>
      <c r="O248" s="26"/>
      <c r="P248" s="26"/>
      <c r="Q248" s="26"/>
      <c r="R248" s="18">
        <f t="shared" si="3"/>
        <v>2102</v>
      </c>
    </row>
    <row r="249" spans="1:18" s="2" customFormat="1" ht="15">
      <c r="A249" s="4" t="s">
        <v>492</v>
      </c>
      <c r="B249" s="3" t="s">
        <v>493</v>
      </c>
      <c r="C249" s="4" t="s">
        <v>494</v>
      </c>
      <c r="D249" s="4">
        <v>1.45</v>
      </c>
      <c r="E249" s="29">
        <v>2022</v>
      </c>
      <c r="F249" s="26">
        <v>889</v>
      </c>
      <c r="G249" s="26">
        <v>1533</v>
      </c>
      <c r="H249" s="26">
        <v>2062</v>
      </c>
      <c r="I249" s="26">
        <v>1114</v>
      </c>
      <c r="J249" s="26">
        <v>1303</v>
      </c>
      <c r="K249" s="26"/>
      <c r="L249" s="26"/>
      <c r="M249" s="26"/>
      <c r="N249" s="26"/>
      <c r="O249" s="26"/>
      <c r="P249" s="26"/>
      <c r="Q249" s="26"/>
      <c r="R249" s="18">
        <f t="shared" si="3"/>
        <v>6901</v>
      </c>
    </row>
    <row r="250" spans="1:18" s="2" customFormat="1" ht="15">
      <c r="A250" s="4" t="s">
        <v>492</v>
      </c>
      <c r="B250" s="3" t="s">
        <v>495</v>
      </c>
      <c r="C250" s="4" t="s">
        <v>496</v>
      </c>
      <c r="D250" s="4">
        <v>18.670000000000002</v>
      </c>
      <c r="E250" s="29">
        <v>2022</v>
      </c>
      <c r="F250" s="26">
        <v>22048</v>
      </c>
      <c r="G250" s="26">
        <v>15625</v>
      </c>
      <c r="H250" s="26">
        <v>19655</v>
      </c>
      <c r="I250" s="26">
        <v>24268</v>
      </c>
      <c r="J250" s="26">
        <v>16925</v>
      </c>
      <c r="K250" s="26"/>
      <c r="L250" s="26"/>
      <c r="M250" s="26"/>
      <c r="N250" s="26"/>
      <c r="O250" s="26"/>
      <c r="P250" s="26"/>
      <c r="Q250" s="26"/>
      <c r="R250" s="18">
        <f t="shared" si="3"/>
        <v>98521</v>
      </c>
    </row>
    <row r="251" spans="1:18" s="2" customFormat="1" ht="15">
      <c r="A251" s="4" t="s">
        <v>492</v>
      </c>
      <c r="B251" s="3" t="s">
        <v>497</v>
      </c>
      <c r="C251" s="4" t="s">
        <v>498</v>
      </c>
      <c r="D251" s="4">
        <v>19.27</v>
      </c>
      <c r="E251" s="29">
        <v>2023</v>
      </c>
      <c r="F251" s="26">
        <v>0</v>
      </c>
      <c r="G251" s="26">
        <v>0</v>
      </c>
      <c r="H251" s="26">
        <v>0</v>
      </c>
      <c r="I251" s="26">
        <v>1532</v>
      </c>
      <c r="J251" s="26">
        <v>4891</v>
      </c>
      <c r="K251" s="26"/>
      <c r="L251" s="26"/>
      <c r="M251" s="26"/>
      <c r="N251" s="26"/>
      <c r="O251" s="26"/>
      <c r="P251" s="26"/>
      <c r="Q251" s="26"/>
      <c r="R251" s="18">
        <f t="shared" si="3"/>
        <v>6423</v>
      </c>
    </row>
    <row r="252" spans="1:18" s="2" customFormat="1" ht="15">
      <c r="A252" s="4" t="s">
        <v>492</v>
      </c>
      <c r="B252" s="3" t="s">
        <v>499</v>
      </c>
      <c r="C252" s="4" t="s">
        <v>500</v>
      </c>
      <c r="D252" s="4">
        <v>19.02</v>
      </c>
      <c r="E252" s="29">
        <v>2023</v>
      </c>
      <c r="F252" s="26">
        <v>0</v>
      </c>
      <c r="G252" s="26">
        <v>0</v>
      </c>
      <c r="H252" s="26">
        <v>0</v>
      </c>
      <c r="I252" s="26">
        <v>79</v>
      </c>
      <c r="J252" s="26">
        <v>2261</v>
      </c>
      <c r="K252" s="26"/>
      <c r="L252" s="26"/>
      <c r="M252" s="26"/>
      <c r="N252" s="26"/>
      <c r="O252" s="26"/>
      <c r="P252" s="26"/>
      <c r="Q252" s="26"/>
      <c r="R252" s="18">
        <f t="shared" si="3"/>
        <v>2340</v>
      </c>
    </row>
    <row r="253" spans="1:18" s="2" customFormat="1" ht="15">
      <c r="A253" s="4" t="s">
        <v>492</v>
      </c>
      <c r="B253" s="3" t="s">
        <v>501</v>
      </c>
      <c r="C253" s="4" t="s">
        <v>502</v>
      </c>
      <c r="D253" s="4">
        <v>18.45</v>
      </c>
      <c r="E253" s="29">
        <v>2023</v>
      </c>
      <c r="F253" s="26">
        <v>0</v>
      </c>
      <c r="G253" s="26">
        <v>0</v>
      </c>
      <c r="H253" s="26">
        <v>0</v>
      </c>
      <c r="I253" s="26">
        <v>34</v>
      </c>
      <c r="J253" s="26">
        <v>960</v>
      </c>
      <c r="K253" s="26"/>
      <c r="L253" s="26"/>
      <c r="M253" s="26"/>
      <c r="N253" s="26"/>
      <c r="O253" s="26"/>
      <c r="P253" s="26"/>
      <c r="Q253" s="26"/>
      <c r="R253" s="18">
        <f t="shared" si="3"/>
        <v>994</v>
      </c>
    </row>
    <row r="254" spans="1:18" s="2" customFormat="1" ht="15">
      <c r="A254" s="4" t="s">
        <v>492</v>
      </c>
      <c r="B254" s="3" t="s">
        <v>503</v>
      </c>
      <c r="C254" s="4" t="s">
        <v>504</v>
      </c>
      <c r="D254" s="4">
        <v>18.8</v>
      </c>
      <c r="E254" s="29">
        <v>2023</v>
      </c>
      <c r="F254" s="26">
        <v>0</v>
      </c>
      <c r="G254" s="26">
        <v>0</v>
      </c>
      <c r="H254" s="26">
        <v>0</v>
      </c>
      <c r="I254" s="26">
        <v>0</v>
      </c>
      <c r="J254" s="26">
        <v>165</v>
      </c>
      <c r="K254" s="26"/>
      <c r="L254" s="26"/>
      <c r="M254" s="26"/>
      <c r="N254" s="26"/>
      <c r="O254" s="26"/>
      <c r="P254" s="26"/>
      <c r="Q254" s="26"/>
      <c r="R254" s="18">
        <f t="shared" si="3"/>
        <v>165</v>
      </c>
    </row>
    <row r="255" spans="1:18" s="2" customFormat="1" ht="15">
      <c r="A255" s="4" t="s">
        <v>492</v>
      </c>
      <c r="B255" s="3" t="s">
        <v>505</v>
      </c>
      <c r="C255" s="4" t="s">
        <v>506</v>
      </c>
      <c r="D255" s="4">
        <v>19.600000000000001</v>
      </c>
      <c r="E255" s="29">
        <v>2023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/>
      <c r="L255" s="26"/>
      <c r="M255" s="26"/>
      <c r="N255" s="26"/>
      <c r="O255" s="26"/>
      <c r="P255" s="26"/>
      <c r="Q255" s="26"/>
      <c r="R255" s="18">
        <f t="shared" si="3"/>
        <v>0</v>
      </c>
    </row>
    <row r="256" spans="1:18" s="2" customFormat="1" ht="15">
      <c r="A256" s="4" t="s">
        <v>492</v>
      </c>
      <c r="B256" s="3" t="s">
        <v>507</v>
      </c>
      <c r="C256" s="4" t="s">
        <v>508</v>
      </c>
      <c r="D256" s="4">
        <v>19.34</v>
      </c>
      <c r="E256" s="29">
        <v>2023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/>
      <c r="L256" s="26"/>
      <c r="M256" s="26"/>
      <c r="N256" s="26"/>
      <c r="O256" s="26"/>
      <c r="P256" s="26"/>
      <c r="Q256" s="26"/>
      <c r="R256" s="18">
        <f t="shared" si="3"/>
        <v>0</v>
      </c>
    </row>
    <row r="257" spans="1:18" s="2" customFormat="1" ht="15">
      <c r="A257" s="4" t="s">
        <v>492</v>
      </c>
      <c r="B257" s="3" t="s">
        <v>509</v>
      </c>
      <c r="C257" s="4" t="s">
        <v>510</v>
      </c>
      <c r="D257" s="4">
        <v>17.34</v>
      </c>
      <c r="E257" s="29">
        <v>2023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/>
      <c r="L257" s="26"/>
      <c r="M257" s="26"/>
      <c r="N257" s="26"/>
      <c r="O257" s="26"/>
      <c r="P257" s="26"/>
      <c r="Q257" s="26"/>
      <c r="R257" s="18">
        <f t="shared" si="3"/>
        <v>0</v>
      </c>
    </row>
    <row r="258" spans="1:18" s="2" customFormat="1" ht="15">
      <c r="A258" s="4" t="s">
        <v>492</v>
      </c>
      <c r="B258" s="3" t="s">
        <v>511</v>
      </c>
      <c r="C258" s="4" t="s">
        <v>512</v>
      </c>
      <c r="D258" s="4">
        <v>13.29</v>
      </c>
      <c r="E258" s="29">
        <v>2023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/>
      <c r="L258" s="26"/>
      <c r="M258" s="26"/>
      <c r="N258" s="26"/>
      <c r="O258" s="26"/>
      <c r="P258" s="26"/>
      <c r="Q258" s="26"/>
      <c r="R258" s="18">
        <f t="shared" si="3"/>
        <v>0</v>
      </c>
    </row>
    <row r="259" spans="1:18" s="2" customFormat="1" ht="15">
      <c r="A259" s="4" t="s">
        <v>492</v>
      </c>
      <c r="B259" s="3" t="s">
        <v>513</v>
      </c>
      <c r="C259" s="4" t="s">
        <v>514</v>
      </c>
      <c r="D259" s="4">
        <v>10.130000000000001</v>
      </c>
      <c r="E259" s="29">
        <v>2023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/>
      <c r="L259" s="26"/>
      <c r="M259" s="26"/>
      <c r="N259" s="26"/>
      <c r="O259" s="26"/>
      <c r="P259" s="26"/>
      <c r="Q259" s="26"/>
      <c r="R259" s="18">
        <f t="shared" ref="R259:R284" si="4">SUM(F259:Q259)</f>
        <v>0</v>
      </c>
    </row>
    <row r="260" spans="1:18" s="2" customFormat="1" ht="15">
      <c r="A260" s="4" t="s">
        <v>492</v>
      </c>
      <c r="B260" s="3" t="s">
        <v>515</v>
      </c>
      <c r="C260" s="4" t="s">
        <v>516</v>
      </c>
      <c r="D260" s="4">
        <v>7.46</v>
      </c>
      <c r="E260" s="29">
        <v>2023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/>
      <c r="L260" s="26"/>
      <c r="M260" s="26"/>
      <c r="N260" s="26"/>
      <c r="O260" s="26"/>
      <c r="P260" s="26"/>
      <c r="Q260" s="26"/>
      <c r="R260" s="18">
        <f t="shared" si="4"/>
        <v>0</v>
      </c>
    </row>
    <row r="261" spans="1:18" s="2" customFormat="1" ht="15">
      <c r="A261" s="4" t="s">
        <v>492</v>
      </c>
      <c r="B261" s="3" t="s">
        <v>517</v>
      </c>
      <c r="C261" s="4" t="s">
        <v>518</v>
      </c>
      <c r="D261" s="4">
        <v>1.33</v>
      </c>
      <c r="E261" s="29">
        <v>2024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/>
      <c r="L261" s="26"/>
      <c r="M261" s="26"/>
      <c r="N261" s="26"/>
      <c r="O261" s="26"/>
      <c r="P261" s="26"/>
      <c r="Q261" s="26"/>
      <c r="R261" s="18">
        <f t="shared" si="4"/>
        <v>0</v>
      </c>
    </row>
    <row r="262" spans="1:18" s="2" customFormat="1" ht="15">
      <c r="A262" s="4" t="s">
        <v>492</v>
      </c>
      <c r="B262" s="3" t="s">
        <v>519</v>
      </c>
      <c r="C262" s="4" t="s">
        <v>520</v>
      </c>
      <c r="D262" s="4">
        <v>9.07</v>
      </c>
      <c r="E262" s="29">
        <v>2023</v>
      </c>
      <c r="F262" s="26">
        <v>0</v>
      </c>
      <c r="G262" s="26">
        <v>0</v>
      </c>
      <c r="H262" s="26">
        <v>0</v>
      </c>
      <c r="I262" s="26">
        <v>99</v>
      </c>
      <c r="J262" s="26">
        <v>1300</v>
      </c>
      <c r="K262" s="26"/>
      <c r="L262" s="26"/>
      <c r="M262" s="26"/>
      <c r="N262" s="26"/>
      <c r="O262" s="26"/>
      <c r="P262" s="26"/>
      <c r="Q262" s="26"/>
      <c r="R262" s="18">
        <f t="shared" si="4"/>
        <v>1399</v>
      </c>
    </row>
    <row r="263" spans="1:18" s="2" customFormat="1" ht="15">
      <c r="A263" s="4" t="s">
        <v>492</v>
      </c>
      <c r="B263" s="3" t="s">
        <v>521</v>
      </c>
      <c r="C263" s="4" t="s">
        <v>522</v>
      </c>
      <c r="D263" s="4">
        <v>0.5</v>
      </c>
      <c r="E263" s="29">
        <v>2022</v>
      </c>
      <c r="F263" s="26">
        <v>587</v>
      </c>
      <c r="G263" s="26">
        <v>548</v>
      </c>
      <c r="H263" s="26">
        <v>745</v>
      </c>
      <c r="I263" s="26">
        <v>1324</v>
      </c>
      <c r="J263" s="26">
        <v>417</v>
      </c>
      <c r="K263" s="26"/>
      <c r="L263" s="26"/>
      <c r="M263" s="26"/>
      <c r="N263" s="26"/>
      <c r="O263" s="26"/>
      <c r="P263" s="26"/>
      <c r="Q263" s="26"/>
      <c r="R263" s="18">
        <f t="shared" si="4"/>
        <v>3621</v>
      </c>
    </row>
    <row r="264" spans="1:18" s="2" customFormat="1" ht="15">
      <c r="A264" s="4" t="s">
        <v>492</v>
      </c>
      <c r="B264" s="3" t="s">
        <v>523</v>
      </c>
      <c r="C264" s="4" t="s">
        <v>524</v>
      </c>
      <c r="D264" s="4">
        <v>2.0299999999999998</v>
      </c>
      <c r="E264" s="29">
        <v>2022</v>
      </c>
      <c r="F264" s="26">
        <v>1643</v>
      </c>
      <c r="G264" s="26">
        <v>1816</v>
      </c>
      <c r="H264" s="26">
        <v>2318</v>
      </c>
      <c r="I264" s="26">
        <v>2816</v>
      </c>
      <c r="J264" s="26">
        <v>1029</v>
      </c>
      <c r="K264" s="26"/>
      <c r="L264" s="26"/>
      <c r="M264" s="26"/>
      <c r="N264" s="26"/>
      <c r="O264" s="26"/>
      <c r="P264" s="26"/>
      <c r="Q264" s="26"/>
      <c r="R264" s="18">
        <f t="shared" si="4"/>
        <v>9622</v>
      </c>
    </row>
    <row r="265" spans="1:18" s="2" customFormat="1" ht="15">
      <c r="A265" s="4" t="s">
        <v>492</v>
      </c>
      <c r="B265" s="3" t="s">
        <v>525</v>
      </c>
      <c r="C265" s="4" t="s">
        <v>526</v>
      </c>
      <c r="D265" s="4">
        <v>5.58</v>
      </c>
      <c r="E265" s="29">
        <v>2022</v>
      </c>
      <c r="F265" s="26">
        <v>7575</v>
      </c>
      <c r="G265" s="26">
        <v>3470</v>
      </c>
      <c r="H265" s="26">
        <v>5158</v>
      </c>
      <c r="I265" s="26">
        <v>5949</v>
      </c>
      <c r="J265" s="26">
        <v>2740</v>
      </c>
      <c r="K265" s="26"/>
      <c r="L265" s="26"/>
      <c r="M265" s="26"/>
      <c r="N265" s="26"/>
      <c r="O265" s="26"/>
      <c r="P265" s="26"/>
      <c r="Q265" s="26"/>
      <c r="R265" s="18">
        <f t="shared" si="4"/>
        <v>24892</v>
      </c>
    </row>
    <row r="266" spans="1:18" s="2" customFormat="1" ht="15">
      <c r="A266" s="4" t="s">
        <v>492</v>
      </c>
      <c r="B266" s="3" t="s">
        <v>527</v>
      </c>
      <c r="C266" s="4" t="s">
        <v>528</v>
      </c>
      <c r="D266" s="4">
        <v>16.440000000000001</v>
      </c>
      <c r="E266" s="29">
        <v>2023</v>
      </c>
      <c r="F266" s="26">
        <v>16878</v>
      </c>
      <c r="G266" s="26">
        <v>13242</v>
      </c>
      <c r="H266" s="26">
        <v>15563</v>
      </c>
      <c r="I266" s="26">
        <v>18628</v>
      </c>
      <c r="J266" s="26">
        <v>10814</v>
      </c>
      <c r="K266" s="26"/>
      <c r="L266" s="26"/>
      <c r="M266" s="26"/>
      <c r="N266" s="26"/>
      <c r="O266" s="26"/>
      <c r="P266" s="26"/>
      <c r="Q266" s="26"/>
      <c r="R266" s="18">
        <f t="shared" si="4"/>
        <v>75125</v>
      </c>
    </row>
    <row r="267" spans="1:18" s="2" customFormat="1" ht="15">
      <c r="A267" s="4" t="s">
        <v>492</v>
      </c>
      <c r="B267" s="3" t="s">
        <v>529</v>
      </c>
      <c r="C267" s="4" t="s">
        <v>530</v>
      </c>
      <c r="D267" s="4">
        <v>19.12</v>
      </c>
      <c r="E267" s="29">
        <v>2023</v>
      </c>
      <c r="F267" s="26">
        <v>9448</v>
      </c>
      <c r="G267" s="26">
        <v>11798</v>
      </c>
      <c r="H267" s="26">
        <v>8641</v>
      </c>
      <c r="I267" s="26">
        <v>9378</v>
      </c>
      <c r="J267" s="26">
        <v>7484</v>
      </c>
      <c r="K267" s="26"/>
      <c r="L267" s="26"/>
      <c r="M267" s="26"/>
      <c r="N267" s="26"/>
      <c r="O267" s="26"/>
      <c r="P267" s="26"/>
      <c r="Q267" s="26"/>
      <c r="R267" s="18">
        <f t="shared" si="4"/>
        <v>46749</v>
      </c>
    </row>
    <row r="268" spans="1:18" s="2" customFormat="1" ht="15">
      <c r="A268" s="4" t="s">
        <v>492</v>
      </c>
      <c r="B268" s="3" t="s">
        <v>531</v>
      </c>
      <c r="C268" s="4" t="s">
        <v>532</v>
      </c>
      <c r="D268" s="4">
        <v>18.53</v>
      </c>
      <c r="E268" s="29">
        <v>2022</v>
      </c>
      <c r="F268" s="26">
        <v>9581</v>
      </c>
      <c r="G268" s="26">
        <v>22698</v>
      </c>
      <c r="H268" s="26">
        <v>17111</v>
      </c>
      <c r="I268" s="26">
        <v>16715</v>
      </c>
      <c r="J268" s="26">
        <v>13751</v>
      </c>
      <c r="K268" s="26"/>
      <c r="L268" s="26"/>
      <c r="M268" s="26"/>
      <c r="N268" s="26"/>
      <c r="O268" s="26"/>
      <c r="P268" s="26"/>
      <c r="Q268" s="26"/>
      <c r="R268" s="18">
        <f t="shared" si="4"/>
        <v>79856</v>
      </c>
    </row>
    <row r="269" spans="1:18" s="2" customFormat="1" ht="15">
      <c r="A269" s="4" t="s">
        <v>492</v>
      </c>
      <c r="B269" s="3" t="s">
        <v>533</v>
      </c>
      <c r="C269" s="4" t="s">
        <v>534</v>
      </c>
      <c r="D269" s="4">
        <v>18.170000000000002</v>
      </c>
      <c r="E269" s="29">
        <v>2022</v>
      </c>
      <c r="F269" s="26">
        <v>12715</v>
      </c>
      <c r="G269" s="26">
        <v>11837</v>
      </c>
      <c r="H269" s="26">
        <v>16588</v>
      </c>
      <c r="I269" s="26">
        <v>13057</v>
      </c>
      <c r="J269" s="26">
        <v>12825</v>
      </c>
      <c r="K269" s="26"/>
      <c r="L269" s="26"/>
      <c r="M269" s="26"/>
      <c r="N269" s="26"/>
      <c r="O269" s="26"/>
      <c r="P269" s="26"/>
      <c r="Q269" s="26"/>
      <c r="R269" s="18">
        <f t="shared" si="4"/>
        <v>67022</v>
      </c>
    </row>
    <row r="270" spans="1:18" s="2" customFormat="1" ht="15">
      <c r="A270" s="4" t="s">
        <v>492</v>
      </c>
      <c r="B270" s="3" t="s">
        <v>535</v>
      </c>
      <c r="C270" s="4" t="s">
        <v>536</v>
      </c>
      <c r="D270" s="4">
        <v>19.91</v>
      </c>
      <c r="E270" s="29">
        <v>2023</v>
      </c>
      <c r="F270" s="26">
        <v>86</v>
      </c>
      <c r="G270" s="26">
        <v>1933</v>
      </c>
      <c r="H270" s="26">
        <v>7009</v>
      </c>
      <c r="I270" s="26">
        <v>3577</v>
      </c>
      <c r="J270" s="26">
        <v>5015</v>
      </c>
      <c r="K270" s="26"/>
      <c r="L270" s="26"/>
      <c r="M270" s="26"/>
      <c r="N270" s="26"/>
      <c r="O270" s="26"/>
      <c r="P270" s="26"/>
      <c r="Q270" s="26"/>
      <c r="R270" s="18">
        <f t="shared" si="4"/>
        <v>17620</v>
      </c>
    </row>
    <row r="271" spans="1:18" s="2" customFormat="1" ht="15">
      <c r="A271" s="4" t="s">
        <v>492</v>
      </c>
      <c r="B271" s="3" t="s">
        <v>537</v>
      </c>
      <c r="C271" s="4" t="s">
        <v>538</v>
      </c>
      <c r="D271" s="4">
        <v>18.739999999999998</v>
      </c>
      <c r="E271" s="29">
        <v>2023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/>
      <c r="L271" s="26"/>
      <c r="M271" s="26"/>
      <c r="N271" s="26"/>
      <c r="O271" s="26"/>
      <c r="P271" s="26"/>
      <c r="Q271" s="26"/>
      <c r="R271" s="18">
        <f t="shared" si="4"/>
        <v>0</v>
      </c>
    </row>
    <row r="272" spans="1:18" s="2" customFormat="1" ht="15">
      <c r="A272" s="4" t="s">
        <v>492</v>
      </c>
      <c r="B272" s="3" t="s">
        <v>539</v>
      </c>
      <c r="C272" s="4" t="s">
        <v>540</v>
      </c>
      <c r="D272" s="4">
        <v>18.75</v>
      </c>
      <c r="E272" s="29">
        <v>2023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/>
      <c r="L272" s="26"/>
      <c r="M272" s="26"/>
      <c r="N272" s="26"/>
      <c r="O272" s="26"/>
      <c r="P272" s="26"/>
      <c r="Q272" s="26"/>
      <c r="R272" s="18">
        <f t="shared" si="4"/>
        <v>0</v>
      </c>
    </row>
    <row r="273" spans="1:18" s="2" customFormat="1" ht="15">
      <c r="A273" s="4" t="s">
        <v>492</v>
      </c>
      <c r="B273" s="3" t="s">
        <v>541</v>
      </c>
      <c r="C273" s="4" t="s">
        <v>542</v>
      </c>
      <c r="D273" s="4">
        <v>18.7</v>
      </c>
      <c r="E273" s="29">
        <v>2023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/>
      <c r="L273" s="26"/>
      <c r="M273" s="26"/>
      <c r="N273" s="26"/>
      <c r="O273" s="26"/>
      <c r="P273" s="26"/>
      <c r="Q273" s="26"/>
      <c r="R273" s="18">
        <f t="shared" si="4"/>
        <v>0</v>
      </c>
    </row>
    <row r="274" spans="1:18" s="2" customFormat="1" ht="15">
      <c r="A274" s="4" t="s">
        <v>492</v>
      </c>
      <c r="B274" s="3" t="s">
        <v>543</v>
      </c>
      <c r="C274" s="4" t="s">
        <v>544</v>
      </c>
      <c r="D274" s="4">
        <v>9.2200000000000006</v>
      </c>
      <c r="E274" s="29">
        <v>2024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/>
      <c r="L274" s="26"/>
      <c r="M274" s="26"/>
      <c r="N274" s="26"/>
      <c r="O274" s="26"/>
      <c r="P274" s="26"/>
      <c r="Q274" s="26"/>
      <c r="R274" s="18">
        <f t="shared" si="4"/>
        <v>0</v>
      </c>
    </row>
    <row r="275" spans="1:18" s="2" customFormat="1" ht="15">
      <c r="A275" s="4" t="s">
        <v>492</v>
      </c>
      <c r="B275" s="3" t="s">
        <v>545</v>
      </c>
      <c r="C275" s="4" t="s">
        <v>546</v>
      </c>
      <c r="D275" s="4">
        <v>4.41</v>
      </c>
      <c r="E275" s="29">
        <v>2024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/>
      <c r="L275" s="26"/>
      <c r="M275" s="26"/>
      <c r="N275" s="26"/>
      <c r="O275" s="26"/>
      <c r="P275" s="26"/>
      <c r="Q275" s="26"/>
      <c r="R275" s="18">
        <f t="shared" si="4"/>
        <v>0</v>
      </c>
    </row>
    <row r="276" spans="1:18" s="2" customFormat="1" ht="15">
      <c r="A276" s="4" t="s">
        <v>492</v>
      </c>
      <c r="B276" s="3" t="s">
        <v>547</v>
      </c>
      <c r="C276" s="4" t="s">
        <v>548</v>
      </c>
      <c r="D276" s="4">
        <v>2.62</v>
      </c>
      <c r="E276" s="29">
        <v>2024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/>
      <c r="L276" s="26"/>
      <c r="M276" s="26"/>
      <c r="N276" s="26"/>
      <c r="O276" s="26"/>
      <c r="P276" s="26"/>
      <c r="Q276" s="26"/>
      <c r="R276" s="18">
        <f t="shared" si="4"/>
        <v>0</v>
      </c>
    </row>
    <row r="277" spans="1:18" s="2" customFormat="1" ht="15">
      <c r="A277" s="4" t="s">
        <v>492</v>
      </c>
      <c r="B277" s="3" t="s">
        <v>549</v>
      </c>
      <c r="C277" s="4" t="s">
        <v>550</v>
      </c>
      <c r="D277" s="4">
        <v>3.51</v>
      </c>
      <c r="E277" s="29">
        <v>2024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26"/>
      <c r="L277" s="26"/>
      <c r="M277" s="26"/>
      <c r="N277" s="26"/>
      <c r="O277" s="26"/>
      <c r="P277" s="26"/>
      <c r="Q277" s="26"/>
      <c r="R277" s="18">
        <f t="shared" si="4"/>
        <v>0</v>
      </c>
    </row>
    <row r="278" spans="1:18" s="2" customFormat="1" ht="15">
      <c r="A278" s="4" t="s">
        <v>492</v>
      </c>
      <c r="B278" s="3" t="s">
        <v>551</v>
      </c>
      <c r="C278" s="4" t="s">
        <v>552</v>
      </c>
      <c r="D278" s="4">
        <v>3.19</v>
      </c>
      <c r="E278" s="29">
        <v>2024</v>
      </c>
      <c r="F278" s="26">
        <v>0</v>
      </c>
      <c r="G278" s="26">
        <v>0</v>
      </c>
      <c r="H278" s="26">
        <v>0</v>
      </c>
      <c r="I278" s="26">
        <v>0</v>
      </c>
      <c r="J278" s="26">
        <v>0</v>
      </c>
      <c r="K278" s="26"/>
      <c r="L278" s="26"/>
      <c r="M278" s="26"/>
      <c r="N278" s="26"/>
      <c r="O278" s="26"/>
      <c r="P278" s="26"/>
      <c r="Q278" s="26"/>
      <c r="R278" s="18">
        <f t="shared" si="4"/>
        <v>0</v>
      </c>
    </row>
    <row r="279" spans="1:18" s="2" customFormat="1" ht="15">
      <c r="A279" s="4" t="s">
        <v>492</v>
      </c>
      <c r="B279" s="3" t="s">
        <v>553</v>
      </c>
      <c r="C279" s="4" t="s">
        <v>554</v>
      </c>
      <c r="D279" s="4">
        <v>4.62</v>
      </c>
      <c r="E279" s="29">
        <v>2024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/>
      <c r="L279" s="26"/>
      <c r="M279" s="26"/>
      <c r="N279" s="26"/>
      <c r="O279" s="26"/>
      <c r="P279" s="26"/>
      <c r="Q279" s="26"/>
      <c r="R279" s="18">
        <f t="shared" si="4"/>
        <v>0</v>
      </c>
    </row>
    <row r="280" spans="1:18" s="2" customFormat="1" ht="15">
      <c r="A280" s="4" t="s">
        <v>492</v>
      </c>
      <c r="B280" s="3" t="s">
        <v>555</v>
      </c>
      <c r="C280" s="4" t="s">
        <v>556</v>
      </c>
      <c r="D280" s="4">
        <v>4.41</v>
      </c>
      <c r="E280" s="29">
        <v>2024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/>
      <c r="L280" s="26"/>
      <c r="M280" s="26"/>
      <c r="N280" s="26"/>
      <c r="O280" s="26"/>
      <c r="P280" s="26"/>
      <c r="Q280" s="26"/>
      <c r="R280" s="18">
        <f t="shared" si="4"/>
        <v>0</v>
      </c>
    </row>
    <row r="281" spans="1:18" s="2" customFormat="1" ht="15">
      <c r="A281" s="4" t="s">
        <v>492</v>
      </c>
      <c r="B281" s="3" t="s">
        <v>557</v>
      </c>
      <c r="C281" s="4" t="s">
        <v>558</v>
      </c>
      <c r="D281" s="4">
        <v>1.91</v>
      </c>
      <c r="E281" s="29">
        <v>2024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/>
      <c r="L281" s="26"/>
      <c r="M281" s="26"/>
      <c r="N281" s="26"/>
      <c r="O281" s="26"/>
      <c r="P281" s="26"/>
      <c r="Q281" s="26"/>
      <c r="R281" s="18">
        <f t="shared" si="4"/>
        <v>0</v>
      </c>
    </row>
    <row r="282" spans="1:18" s="2" customFormat="1" ht="15">
      <c r="A282" s="4" t="s">
        <v>492</v>
      </c>
      <c r="B282" s="3" t="s">
        <v>559</v>
      </c>
      <c r="C282" s="4" t="s">
        <v>560</v>
      </c>
      <c r="D282" s="4">
        <v>3.6</v>
      </c>
      <c r="E282" s="29">
        <v>2024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/>
      <c r="L282" s="26"/>
      <c r="M282" s="26"/>
      <c r="N282" s="26"/>
      <c r="O282" s="26"/>
      <c r="P282" s="26"/>
      <c r="Q282" s="26"/>
      <c r="R282" s="18">
        <f t="shared" si="4"/>
        <v>0</v>
      </c>
    </row>
    <row r="283" spans="1:18" s="2" customFormat="1" ht="15">
      <c r="A283" s="4" t="s">
        <v>492</v>
      </c>
      <c r="B283" s="3" t="s">
        <v>561</v>
      </c>
      <c r="C283" s="4" t="s">
        <v>562</v>
      </c>
      <c r="D283" s="4">
        <v>0.86</v>
      </c>
      <c r="E283" s="29">
        <v>2024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/>
      <c r="L283" s="26"/>
      <c r="M283" s="26"/>
      <c r="N283" s="26"/>
      <c r="O283" s="26"/>
      <c r="P283" s="26"/>
      <c r="Q283" s="26"/>
      <c r="R283" s="18">
        <f t="shared" si="4"/>
        <v>0</v>
      </c>
    </row>
    <row r="284" spans="1:18" s="2" customFormat="1" ht="15">
      <c r="A284" s="4" t="s">
        <v>492</v>
      </c>
      <c r="B284" s="3" t="s">
        <v>563</v>
      </c>
      <c r="C284" s="4" t="s">
        <v>564</v>
      </c>
      <c r="D284" s="4">
        <v>5.05</v>
      </c>
      <c r="E284" s="29">
        <v>2023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/>
      <c r="L284" s="26"/>
      <c r="M284" s="26"/>
      <c r="N284" s="26"/>
      <c r="O284" s="26"/>
      <c r="P284" s="26"/>
      <c r="Q284" s="26"/>
      <c r="R284" s="18">
        <f t="shared" si="4"/>
        <v>0</v>
      </c>
    </row>
    <row r="287" spans="1:18">
      <c r="E287" s="30"/>
    </row>
    <row r="288" spans="1:18">
      <c r="E288" s="30"/>
    </row>
    <row r="289" spans="5:5">
      <c r="E289" s="30"/>
    </row>
  </sheetData>
  <printOptions horizontalCentered="1"/>
  <pageMargins left="0" right="0" top="3.9370078740157501E-2" bottom="0" header="0.118110236220472" footer="0.118110236220472"/>
  <pageSetup paperSize="1000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7BD9-17C5-413A-9862-6EDC3D3870AE}">
  <dimension ref="A1:S289"/>
  <sheetViews>
    <sheetView showGridLines="0" zoomScale="85" zoomScaleNormal="85" zoomScaleSheetLayoutView="85" workbookViewId="0">
      <pane xSplit="5" ySplit="2" topLeftCell="F3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RowHeight="13.5"/>
  <cols>
    <col min="1" max="1" width="5.85546875" style="1" customWidth="1"/>
    <col min="2" max="2" width="7.42578125" style="11" customWidth="1"/>
    <col min="3" max="4" width="10" style="1" customWidth="1"/>
    <col min="5" max="5" width="10.28515625" style="12" customWidth="1"/>
    <col min="6" max="7" width="9.140625" style="14" customWidth="1"/>
    <col min="8" max="17" width="9.140625" style="1" customWidth="1"/>
    <col min="18" max="16384" width="9.140625" style="1"/>
  </cols>
  <sheetData>
    <row r="1" spans="1:19" s="2" customFormat="1" ht="4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4">
        <v>45901</v>
      </c>
      <c r="G1" s="24">
        <v>45931</v>
      </c>
      <c r="H1" s="24">
        <v>45962</v>
      </c>
      <c r="I1" s="24">
        <v>45992</v>
      </c>
      <c r="J1" s="24">
        <v>46023</v>
      </c>
      <c r="K1" s="24">
        <v>46054</v>
      </c>
      <c r="L1" s="24">
        <v>46082</v>
      </c>
      <c r="M1" s="24">
        <v>46113</v>
      </c>
      <c r="N1" s="24">
        <v>46143</v>
      </c>
      <c r="O1" s="24">
        <v>46174</v>
      </c>
      <c r="P1" s="24">
        <v>46204</v>
      </c>
      <c r="Q1" s="24">
        <v>46235</v>
      </c>
      <c r="R1" s="19" t="s">
        <v>5</v>
      </c>
    </row>
    <row r="2" spans="1:19" s="2" customFormat="1" ht="20.100000000000001" customHeight="1">
      <c r="A2" s="4" t="s">
        <v>6</v>
      </c>
      <c r="B2" s="3" t="s">
        <v>7</v>
      </c>
      <c r="C2" s="4" t="s">
        <v>8</v>
      </c>
      <c r="D2" s="4">
        <v>6.29</v>
      </c>
      <c r="E2" s="28">
        <v>2008</v>
      </c>
      <c r="F2" s="5">
        <v>2.3656597774244834</v>
      </c>
      <c r="G2" s="5">
        <v>2.1521462639109701</v>
      </c>
      <c r="H2" s="5">
        <v>2.1809220985691571</v>
      </c>
      <c r="I2" s="5">
        <v>1.4402225755166933</v>
      </c>
      <c r="J2" s="5">
        <v>1.2305246422893481</v>
      </c>
      <c r="K2" s="5"/>
      <c r="L2" s="5"/>
      <c r="M2" s="5"/>
      <c r="N2" s="5"/>
      <c r="O2" s="5"/>
      <c r="P2" s="5"/>
      <c r="Q2" s="5"/>
      <c r="R2" s="20">
        <f>SUM(F2:Q2)</f>
        <v>9.3694753577106518</v>
      </c>
      <c r="S2" s="6"/>
    </row>
    <row r="3" spans="1:19" s="2" customFormat="1" ht="20.100000000000001" customHeight="1">
      <c r="A3" s="8" t="s">
        <v>6</v>
      </c>
      <c r="B3" s="7" t="s">
        <v>9</v>
      </c>
      <c r="C3" s="8" t="s">
        <v>10</v>
      </c>
      <c r="D3" s="4">
        <v>19.149999999999999</v>
      </c>
      <c r="E3" s="28">
        <v>2009</v>
      </c>
      <c r="F3" s="5">
        <v>2.8741514360313318</v>
      </c>
      <c r="G3" s="5">
        <v>2.4708093994778069</v>
      </c>
      <c r="H3" s="5">
        <v>2.6264751958224548</v>
      </c>
      <c r="I3" s="5">
        <v>2.5734203655352479</v>
      </c>
      <c r="J3" s="5">
        <v>2.0977545691906005</v>
      </c>
      <c r="K3" s="5"/>
      <c r="L3" s="5"/>
      <c r="M3" s="5"/>
      <c r="N3" s="5"/>
      <c r="O3" s="5"/>
      <c r="P3" s="5"/>
      <c r="Q3" s="5"/>
      <c r="R3" s="20">
        <f t="shared" ref="R3:R66" si="0">SUM(F3:Q3)</f>
        <v>12.642610966057442</v>
      </c>
      <c r="S3" s="6"/>
    </row>
    <row r="4" spans="1:19" s="2" customFormat="1" ht="20.100000000000001" customHeight="1">
      <c r="A4" s="8" t="s">
        <v>6</v>
      </c>
      <c r="B4" s="7" t="s">
        <v>11</v>
      </c>
      <c r="C4" s="8" t="s">
        <v>12</v>
      </c>
      <c r="D4" s="4">
        <v>18.46</v>
      </c>
      <c r="E4" s="28">
        <v>2009</v>
      </c>
      <c r="F4" s="5">
        <v>2.8264897074756226</v>
      </c>
      <c r="G4" s="5">
        <v>2.6501083423618632</v>
      </c>
      <c r="H4" s="5">
        <v>2.9282773564463707</v>
      </c>
      <c r="I4" s="5">
        <v>2.7431202600216684</v>
      </c>
      <c r="J4" s="5">
        <v>2.3020585048754061</v>
      </c>
      <c r="K4" s="5"/>
      <c r="L4" s="5"/>
      <c r="M4" s="5"/>
      <c r="N4" s="5"/>
      <c r="O4" s="5"/>
      <c r="P4" s="5"/>
      <c r="Q4" s="5"/>
      <c r="R4" s="20">
        <f t="shared" si="0"/>
        <v>13.450054171180932</v>
      </c>
      <c r="S4" s="6"/>
    </row>
    <row r="5" spans="1:19" s="2" customFormat="1" ht="20.100000000000001" customHeight="1">
      <c r="A5" s="8" t="s">
        <v>6</v>
      </c>
      <c r="B5" s="7" t="s">
        <v>13</v>
      </c>
      <c r="C5" s="8" t="s">
        <v>14</v>
      </c>
      <c r="D5" s="4">
        <v>19.61</v>
      </c>
      <c r="E5" s="28">
        <v>2009</v>
      </c>
      <c r="F5" s="5">
        <v>2.0310555838857725</v>
      </c>
      <c r="G5" s="5">
        <v>2.1440591534931159</v>
      </c>
      <c r="H5" s="5">
        <v>2.3928607853136152</v>
      </c>
      <c r="I5" s="5">
        <v>2.046149923508414</v>
      </c>
      <c r="J5" s="5">
        <v>2.0645079041305459</v>
      </c>
      <c r="K5" s="5"/>
      <c r="L5" s="5"/>
      <c r="M5" s="5"/>
      <c r="N5" s="5"/>
      <c r="O5" s="5"/>
      <c r="P5" s="5"/>
      <c r="Q5" s="5"/>
      <c r="R5" s="20">
        <f t="shared" si="0"/>
        <v>10.678633350331463</v>
      </c>
      <c r="S5" s="6"/>
    </row>
    <row r="6" spans="1:19" s="2" customFormat="1" ht="20.100000000000001" customHeight="1">
      <c r="A6" s="8" t="s">
        <v>6</v>
      </c>
      <c r="B6" s="7" t="s">
        <v>15</v>
      </c>
      <c r="C6" s="8" t="s">
        <v>16</v>
      </c>
      <c r="D6" s="4">
        <v>19.2</v>
      </c>
      <c r="E6" s="28">
        <v>2009</v>
      </c>
      <c r="F6" s="5">
        <v>2.9732812499999999</v>
      </c>
      <c r="G6" s="5">
        <v>3.31546875</v>
      </c>
      <c r="H6" s="5">
        <v>3.2432291666666671</v>
      </c>
      <c r="I6" s="5">
        <v>2.7727083333333336</v>
      </c>
      <c r="J6" s="5">
        <v>2.957604166666667</v>
      </c>
      <c r="K6" s="5"/>
      <c r="L6" s="5"/>
      <c r="M6" s="5"/>
      <c r="N6" s="5"/>
      <c r="O6" s="5"/>
      <c r="P6" s="5"/>
      <c r="Q6" s="5"/>
      <c r="R6" s="20">
        <f t="shared" si="0"/>
        <v>15.26229166666667</v>
      </c>
      <c r="S6" s="6"/>
    </row>
    <row r="7" spans="1:19" s="2" customFormat="1" ht="20.100000000000001" customHeight="1">
      <c r="A7" s="8" t="s">
        <v>6</v>
      </c>
      <c r="B7" s="7" t="s">
        <v>17</v>
      </c>
      <c r="C7" s="8" t="s">
        <v>18</v>
      </c>
      <c r="D7" s="4">
        <v>21.32</v>
      </c>
      <c r="E7" s="28">
        <v>2009</v>
      </c>
      <c r="F7" s="5">
        <v>2.5832551594746715</v>
      </c>
      <c r="G7" s="5">
        <v>2.7165103189493434</v>
      </c>
      <c r="H7" s="5">
        <v>2.9258911819887432</v>
      </c>
      <c r="I7" s="5">
        <v>2.4008442776735461</v>
      </c>
      <c r="J7" s="5">
        <v>2.4607879924953093</v>
      </c>
      <c r="K7" s="5"/>
      <c r="L7" s="5"/>
      <c r="M7" s="5"/>
      <c r="N7" s="5"/>
      <c r="O7" s="5"/>
      <c r="P7" s="5"/>
      <c r="Q7" s="5"/>
      <c r="R7" s="20">
        <f t="shared" si="0"/>
        <v>13.087288930581613</v>
      </c>
      <c r="S7" s="6"/>
    </row>
    <row r="8" spans="1:19" s="2" customFormat="1" ht="20.100000000000001" customHeight="1">
      <c r="A8" s="8" t="s">
        <v>6</v>
      </c>
      <c r="B8" s="7" t="s">
        <v>19</v>
      </c>
      <c r="C8" s="8" t="s">
        <v>20</v>
      </c>
      <c r="D8" s="4">
        <v>4.8899999999999997</v>
      </c>
      <c r="E8" s="28">
        <v>2010</v>
      </c>
      <c r="F8" s="5">
        <v>2.6008179959100208</v>
      </c>
      <c r="G8" s="5">
        <v>2.5085889570552151</v>
      </c>
      <c r="H8" s="5">
        <v>2.5519427402862989</v>
      </c>
      <c r="I8" s="5">
        <v>1.8546012269938652</v>
      </c>
      <c r="J8" s="5">
        <v>1.7666666666666668</v>
      </c>
      <c r="K8" s="5"/>
      <c r="L8" s="5"/>
      <c r="M8" s="5"/>
      <c r="N8" s="5"/>
      <c r="O8" s="5"/>
      <c r="P8" s="5"/>
      <c r="Q8" s="5"/>
      <c r="R8" s="20">
        <f t="shared" si="0"/>
        <v>11.282617586912066</v>
      </c>
      <c r="S8" s="6"/>
    </row>
    <row r="9" spans="1:19" s="2" customFormat="1" ht="20.100000000000001" customHeight="1">
      <c r="A9" s="10" t="s">
        <v>6</v>
      </c>
      <c r="B9" s="9" t="s">
        <v>21</v>
      </c>
      <c r="C9" s="10" t="s">
        <v>22</v>
      </c>
      <c r="D9" s="4">
        <v>13.87</v>
      </c>
      <c r="E9" s="28">
        <v>2010</v>
      </c>
      <c r="F9" s="5">
        <v>2.8568853640951697</v>
      </c>
      <c r="G9" s="5">
        <v>2.9763518385003609</v>
      </c>
      <c r="H9" s="5">
        <v>3.3779379956741167</v>
      </c>
      <c r="I9" s="5">
        <v>2.5674116798846431</v>
      </c>
      <c r="J9" s="5">
        <v>2.3514780100937278</v>
      </c>
      <c r="K9" s="5"/>
      <c r="L9" s="5"/>
      <c r="M9" s="5"/>
      <c r="N9" s="5"/>
      <c r="O9" s="5"/>
      <c r="P9" s="5"/>
      <c r="Q9" s="5"/>
      <c r="R9" s="20">
        <f t="shared" si="0"/>
        <v>14.130064888248018</v>
      </c>
      <c r="S9" s="6"/>
    </row>
    <row r="10" spans="1:19" s="2" customFormat="1" ht="20.100000000000001" customHeight="1">
      <c r="A10" s="8" t="s">
        <v>6</v>
      </c>
      <c r="B10" s="7" t="s">
        <v>23</v>
      </c>
      <c r="C10" s="8" t="s">
        <v>24</v>
      </c>
      <c r="D10" s="4">
        <v>6.64</v>
      </c>
      <c r="E10" s="28">
        <v>2010</v>
      </c>
      <c r="F10" s="5">
        <v>2.2683734939759037</v>
      </c>
      <c r="G10" s="5">
        <v>2.554066265060241</v>
      </c>
      <c r="H10" s="5">
        <v>2.693674698795181</v>
      </c>
      <c r="I10" s="5">
        <v>2.1289156626506025</v>
      </c>
      <c r="J10" s="5">
        <v>1.8168674698795182</v>
      </c>
      <c r="K10" s="5"/>
      <c r="L10" s="5"/>
      <c r="M10" s="5"/>
      <c r="N10" s="5"/>
      <c r="O10" s="5"/>
      <c r="P10" s="5"/>
      <c r="Q10" s="5"/>
      <c r="R10" s="20">
        <f t="shared" si="0"/>
        <v>11.461897590361447</v>
      </c>
      <c r="S10" s="6"/>
    </row>
    <row r="11" spans="1:19" s="2" customFormat="1" ht="20.100000000000001" customHeight="1">
      <c r="A11" s="10" t="s">
        <v>6</v>
      </c>
      <c r="B11" s="9" t="s">
        <v>25</v>
      </c>
      <c r="C11" s="10" t="s">
        <v>26</v>
      </c>
      <c r="D11" s="4">
        <v>16.57</v>
      </c>
      <c r="E11" s="28">
        <v>2010</v>
      </c>
      <c r="F11" s="5">
        <v>2.0779722389861193</v>
      </c>
      <c r="G11" s="5">
        <v>2.7578756789378396</v>
      </c>
      <c r="H11" s="5">
        <v>2.9053108026554013</v>
      </c>
      <c r="I11" s="5">
        <v>2.388895594447797</v>
      </c>
      <c r="J11" s="5">
        <v>2.2739891369945684</v>
      </c>
      <c r="K11" s="5"/>
      <c r="L11" s="5"/>
      <c r="M11" s="5"/>
      <c r="N11" s="5"/>
      <c r="O11" s="5"/>
      <c r="P11" s="5"/>
      <c r="Q11" s="5"/>
      <c r="R11" s="20">
        <f t="shared" si="0"/>
        <v>12.404043452021726</v>
      </c>
      <c r="S11" s="6"/>
    </row>
    <row r="12" spans="1:19" s="2" customFormat="1" ht="20.100000000000001" customHeight="1">
      <c r="A12" s="10" t="s">
        <v>6</v>
      </c>
      <c r="B12" s="9" t="s">
        <v>27</v>
      </c>
      <c r="C12" s="10" t="s">
        <v>28</v>
      </c>
      <c r="D12" s="4">
        <v>7.92</v>
      </c>
      <c r="E12" s="28">
        <v>2010</v>
      </c>
      <c r="F12" s="5">
        <v>3.4972222222222222</v>
      </c>
      <c r="G12" s="5">
        <v>3.0430555555555556</v>
      </c>
      <c r="H12" s="5">
        <v>3.4876262626262626</v>
      </c>
      <c r="I12" s="5">
        <v>2.8263888888888888</v>
      </c>
      <c r="J12" s="5">
        <v>2.4498737373737374</v>
      </c>
      <c r="K12" s="5"/>
      <c r="L12" s="5"/>
      <c r="M12" s="5"/>
      <c r="N12" s="5"/>
      <c r="O12" s="5"/>
      <c r="P12" s="5"/>
      <c r="Q12" s="5"/>
      <c r="R12" s="20">
        <f t="shared" si="0"/>
        <v>15.304166666666667</v>
      </c>
      <c r="S12" s="6"/>
    </row>
    <row r="13" spans="1:19" s="2" customFormat="1" ht="20.100000000000001" customHeight="1">
      <c r="A13" s="10" t="s">
        <v>6</v>
      </c>
      <c r="B13" s="9" t="s">
        <v>29</v>
      </c>
      <c r="C13" s="10" t="s">
        <v>30</v>
      </c>
      <c r="D13" s="4">
        <v>17.89</v>
      </c>
      <c r="E13" s="28">
        <v>2010</v>
      </c>
      <c r="F13" s="5">
        <v>2.9456679709334823</v>
      </c>
      <c r="G13" s="5">
        <v>2.6345444382336498</v>
      </c>
      <c r="H13" s="5">
        <v>2.7130240357741755</v>
      </c>
      <c r="I13" s="5">
        <v>2.4785913918390161</v>
      </c>
      <c r="J13" s="5">
        <v>1.96690888764673</v>
      </c>
      <c r="K13" s="5"/>
      <c r="L13" s="5"/>
      <c r="M13" s="5"/>
      <c r="N13" s="5"/>
      <c r="O13" s="5"/>
      <c r="P13" s="5"/>
      <c r="Q13" s="5"/>
      <c r="R13" s="20">
        <f t="shared" si="0"/>
        <v>12.738736724427053</v>
      </c>
      <c r="S13" s="6"/>
    </row>
    <row r="14" spans="1:19" s="2" customFormat="1" ht="20.100000000000001" customHeight="1">
      <c r="A14" s="8" t="s">
        <v>6</v>
      </c>
      <c r="B14" s="7" t="s">
        <v>31</v>
      </c>
      <c r="C14" s="8" t="s">
        <v>32</v>
      </c>
      <c r="D14" s="4">
        <v>20.5</v>
      </c>
      <c r="E14" s="28">
        <v>2011</v>
      </c>
      <c r="F14" s="5">
        <v>2.2705365853658535</v>
      </c>
      <c r="G14" s="5">
        <v>3.0485853658536586</v>
      </c>
      <c r="H14" s="5">
        <v>2.4302439024390243</v>
      </c>
      <c r="I14" s="5">
        <v>2.3415121951219513</v>
      </c>
      <c r="J14" s="5">
        <v>2.0365365853658535</v>
      </c>
      <c r="K14" s="5"/>
      <c r="L14" s="5"/>
      <c r="M14" s="5"/>
      <c r="N14" s="5"/>
      <c r="O14" s="5"/>
      <c r="P14" s="5"/>
      <c r="Q14" s="5"/>
      <c r="R14" s="20">
        <f t="shared" si="0"/>
        <v>12.127414634146342</v>
      </c>
      <c r="S14" s="6"/>
    </row>
    <row r="15" spans="1:19" s="2" customFormat="1" ht="20.100000000000001" customHeight="1">
      <c r="A15" s="8" t="s">
        <v>6</v>
      </c>
      <c r="B15" s="7" t="s">
        <v>33</v>
      </c>
      <c r="C15" s="8" t="s">
        <v>34</v>
      </c>
      <c r="D15" s="4">
        <v>6.87</v>
      </c>
      <c r="E15" s="28">
        <v>2011</v>
      </c>
      <c r="F15" s="5">
        <v>3.0018922852983989</v>
      </c>
      <c r="G15" s="5">
        <v>3.8186317321688499</v>
      </c>
      <c r="H15" s="5">
        <v>3.8752547307132459</v>
      </c>
      <c r="I15" s="5">
        <v>2.8218340611353709</v>
      </c>
      <c r="J15" s="5">
        <v>3.0269286754002911</v>
      </c>
      <c r="K15" s="5"/>
      <c r="L15" s="5"/>
      <c r="M15" s="5"/>
      <c r="N15" s="5"/>
      <c r="O15" s="5"/>
      <c r="P15" s="5"/>
      <c r="Q15" s="5"/>
      <c r="R15" s="20">
        <f t="shared" si="0"/>
        <v>16.544541484716156</v>
      </c>
      <c r="S15" s="6"/>
    </row>
    <row r="16" spans="1:19" s="2" customFormat="1" ht="20.100000000000001" customHeight="1">
      <c r="A16" s="8" t="s">
        <v>6</v>
      </c>
      <c r="B16" s="7" t="s">
        <v>35</v>
      </c>
      <c r="C16" s="8" t="s">
        <v>36</v>
      </c>
      <c r="D16" s="4">
        <v>9.49</v>
      </c>
      <c r="E16" s="28">
        <v>2011</v>
      </c>
      <c r="F16" s="5">
        <v>2.6525816649104317</v>
      </c>
      <c r="G16" s="5">
        <v>3.7109589041095892</v>
      </c>
      <c r="H16" s="5">
        <v>4.2353003161222338</v>
      </c>
      <c r="I16" s="5">
        <v>2.8658587987355109</v>
      </c>
      <c r="J16" s="5">
        <v>3.3871443624868278</v>
      </c>
      <c r="K16" s="5"/>
      <c r="L16" s="5"/>
      <c r="M16" s="5"/>
      <c r="N16" s="5"/>
      <c r="O16" s="5"/>
      <c r="P16" s="5"/>
      <c r="Q16" s="5"/>
      <c r="R16" s="20">
        <f t="shared" si="0"/>
        <v>16.851844046364594</v>
      </c>
      <c r="S16" s="6"/>
    </row>
    <row r="17" spans="1:19" s="2" customFormat="1" ht="20.100000000000001" customHeight="1">
      <c r="A17" s="8" t="s">
        <v>6</v>
      </c>
      <c r="B17" s="7" t="s">
        <v>37</v>
      </c>
      <c r="C17" s="8" t="s">
        <v>38</v>
      </c>
      <c r="D17" s="4">
        <v>14.21</v>
      </c>
      <c r="E17" s="28">
        <v>2011</v>
      </c>
      <c r="F17" s="5">
        <v>2.8103448275862064</v>
      </c>
      <c r="G17" s="5">
        <v>3.494792399718508</v>
      </c>
      <c r="H17" s="5">
        <v>3.6273750879662208</v>
      </c>
      <c r="I17" s="5">
        <v>2.8068261787473605</v>
      </c>
      <c r="J17" s="5">
        <v>3.1225897255453905</v>
      </c>
      <c r="K17" s="5"/>
      <c r="L17" s="5"/>
      <c r="M17" s="5"/>
      <c r="N17" s="5"/>
      <c r="O17" s="5"/>
      <c r="P17" s="5"/>
      <c r="Q17" s="5"/>
      <c r="R17" s="20">
        <f t="shared" si="0"/>
        <v>15.861928219563685</v>
      </c>
      <c r="S17" s="6"/>
    </row>
    <row r="18" spans="1:19" s="2" customFormat="1" ht="20.100000000000001" customHeight="1">
      <c r="A18" s="8" t="s">
        <v>6</v>
      </c>
      <c r="B18" s="7" t="s">
        <v>39</v>
      </c>
      <c r="C18" s="8" t="s">
        <v>40</v>
      </c>
      <c r="D18" s="4">
        <v>29.23</v>
      </c>
      <c r="E18" s="28">
        <v>2011</v>
      </c>
      <c r="F18" s="5">
        <v>2.4540882654806704</v>
      </c>
      <c r="G18" s="5">
        <v>2.4285323297981525</v>
      </c>
      <c r="H18" s="5">
        <v>2.5162504276428326</v>
      </c>
      <c r="I18" s="5">
        <v>2.2469722887444403</v>
      </c>
      <c r="J18" s="5">
        <v>2.0870680807389665</v>
      </c>
      <c r="K18" s="5"/>
      <c r="L18" s="5"/>
      <c r="M18" s="5"/>
      <c r="N18" s="5"/>
      <c r="O18" s="5"/>
      <c r="P18" s="5"/>
      <c r="Q18" s="5"/>
      <c r="R18" s="20">
        <f t="shared" si="0"/>
        <v>11.732911392405061</v>
      </c>
      <c r="S18" s="6"/>
    </row>
    <row r="19" spans="1:19" s="2" customFormat="1" ht="20.100000000000001" customHeight="1">
      <c r="A19" s="8" t="s">
        <v>6</v>
      </c>
      <c r="B19" s="7" t="s">
        <v>41</v>
      </c>
      <c r="C19" s="8" t="s">
        <v>42</v>
      </c>
      <c r="D19" s="4">
        <v>2.92</v>
      </c>
      <c r="E19" s="28">
        <v>2011</v>
      </c>
      <c r="F19" s="5">
        <v>3.3023972602739726</v>
      </c>
      <c r="G19" s="5">
        <v>3.4089041095890411</v>
      </c>
      <c r="H19" s="5">
        <v>2.9815068493150685</v>
      </c>
      <c r="I19" s="5">
        <v>2.6078767123287672</v>
      </c>
      <c r="J19" s="5">
        <v>2.6297945205479456</v>
      </c>
      <c r="K19" s="5"/>
      <c r="L19" s="5"/>
      <c r="M19" s="5"/>
      <c r="N19" s="5"/>
      <c r="O19" s="5"/>
      <c r="P19" s="5"/>
      <c r="Q19" s="5"/>
      <c r="R19" s="20">
        <f t="shared" si="0"/>
        <v>14.930479452054797</v>
      </c>
      <c r="S19" s="6"/>
    </row>
    <row r="20" spans="1:19" s="2" customFormat="1" ht="20.100000000000001" customHeight="1">
      <c r="A20" s="8" t="s">
        <v>6</v>
      </c>
      <c r="B20" s="7" t="s">
        <v>43</v>
      </c>
      <c r="C20" s="8" t="s">
        <v>44</v>
      </c>
      <c r="D20" s="4">
        <v>31.31</v>
      </c>
      <c r="E20" s="28">
        <v>2011</v>
      </c>
      <c r="F20" s="5">
        <v>2.4722452890450337</v>
      </c>
      <c r="G20" s="5">
        <v>2.89009900990099</v>
      </c>
      <c r="H20" s="5">
        <v>3.548355158096455</v>
      </c>
      <c r="I20" s="5">
        <v>2.8098051740657937</v>
      </c>
      <c r="J20" s="5">
        <v>3.2210795273075696</v>
      </c>
      <c r="K20" s="5"/>
      <c r="L20" s="5"/>
      <c r="M20" s="5"/>
      <c r="N20" s="5"/>
      <c r="O20" s="5"/>
      <c r="P20" s="5"/>
      <c r="Q20" s="5"/>
      <c r="R20" s="20">
        <f t="shared" si="0"/>
        <v>14.941584158415843</v>
      </c>
      <c r="S20" s="6"/>
    </row>
    <row r="21" spans="1:19" s="2" customFormat="1" ht="20.100000000000001" customHeight="1">
      <c r="A21" s="4" t="s">
        <v>6</v>
      </c>
      <c r="B21" s="3" t="s">
        <v>45</v>
      </c>
      <c r="C21" s="4" t="s">
        <v>46</v>
      </c>
      <c r="D21" s="4">
        <v>19.39</v>
      </c>
      <c r="E21" s="28">
        <v>2011</v>
      </c>
      <c r="F21" s="5">
        <v>2.1496647756575551</v>
      </c>
      <c r="G21" s="5">
        <v>2.03310985043837</v>
      </c>
      <c r="H21" s="5">
        <v>3.431975244971635</v>
      </c>
      <c r="I21" s="5">
        <v>2.3165033522434242</v>
      </c>
      <c r="J21" s="5">
        <v>2.777411036616813</v>
      </c>
      <c r="K21" s="5"/>
      <c r="L21" s="5"/>
      <c r="M21" s="5"/>
      <c r="N21" s="5"/>
      <c r="O21" s="5"/>
      <c r="P21" s="5"/>
      <c r="Q21" s="5"/>
      <c r="R21" s="20">
        <f t="shared" si="0"/>
        <v>12.708664259927799</v>
      </c>
      <c r="S21" s="6"/>
    </row>
    <row r="22" spans="1:19" s="2" customFormat="1" ht="20.100000000000001" customHeight="1">
      <c r="A22" s="4" t="s">
        <v>6</v>
      </c>
      <c r="B22" s="3" t="s">
        <v>47</v>
      </c>
      <c r="C22" s="4" t="s">
        <v>48</v>
      </c>
      <c r="D22" s="4">
        <v>19.100000000000001</v>
      </c>
      <c r="E22" s="28">
        <v>2011</v>
      </c>
      <c r="F22" s="5">
        <v>2.9436125654450263</v>
      </c>
      <c r="G22" s="5">
        <v>2.9945549738219892</v>
      </c>
      <c r="H22" s="5">
        <v>3.4334554973821989</v>
      </c>
      <c r="I22" s="5">
        <v>2.9231413612565444</v>
      </c>
      <c r="J22" s="5">
        <v>3.4507853403141358</v>
      </c>
      <c r="K22" s="5"/>
      <c r="L22" s="5"/>
      <c r="M22" s="5"/>
      <c r="N22" s="5"/>
      <c r="O22" s="5"/>
      <c r="P22" s="5"/>
      <c r="Q22" s="5"/>
      <c r="R22" s="20">
        <f t="shared" si="0"/>
        <v>15.745549738219895</v>
      </c>
      <c r="S22" s="6"/>
    </row>
    <row r="23" spans="1:19" s="2" customFormat="1" ht="20.100000000000001" customHeight="1">
      <c r="A23" s="4" t="s">
        <v>6</v>
      </c>
      <c r="B23" s="3" t="s">
        <v>49</v>
      </c>
      <c r="C23" s="4" t="s">
        <v>50</v>
      </c>
      <c r="D23" s="4">
        <v>18.64</v>
      </c>
      <c r="E23" s="28">
        <v>2011</v>
      </c>
      <c r="F23" s="5">
        <v>1.8668991416309013</v>
      </c>
      <c r="G23" s="5">
        <v>2.0455472103004291</v>
      </c>
      <c r="H23" s="5">
        <v>2.4287553648068672</v>
      </c>
      <c r="I23" s="5">
        <v>1.9835300429184548</v>
      </c>
      <c r="J23" s="5">
        <v>1.9750000000000001</v>
      </c>
      <c r="K23" s="5"/>
      <c r="L23" s="5"/>
      <c r="M23" s="5"/>
      <c r="N23" s="5"/>
      <c r="O23" s="5"/>
      <c r="P23" s="5"/>
      <c r="Q23" s="5"/>
      <c r="R23" s="20">
        <f t="shared" si="0"/>
        <v>10.299731759656652</v>
      </c>
      <c r="S23" s="6"/>
    </row>
    <row r="24" spans="1:19" s="2" customFormat="1" ht="20.100000000000001" customHeight="1">
      <c r="A24" s="4" t="s">
        <v>6</v>
      </c>
      <c r="B24" s="3" t="s">
        <v>51</v>
      </c>
      <c r="C24" s="4" t="s">
        <v>52</v>
      </c>
      <c r="D24" s="4">
        <v>18.8</v>
      </c>
      <c r="E24" s="28">
        <v>2011</v>
      </c>
      <c r="F24" s="5">
        <v>2.1658510638297872</v>
      </c>
      <c r="G24" s="5">
        <v>2.3072340425531914</v>
      </c>
      <c r="H24" s="5">
        <v>2.5271808510638296</v>
      </c>
      <c r="I24" s="5">
        <v>2.0830319148936169</v>
      </c>
      <c r="J24" s="5">
        <v>2.7298936170212764</v>
      </c>
      <c r="K24" s="5"/>
      <c r="L24" s="5"/>
      <c r="M24" s="5"/>
      <c r="N24" s="5"/>
      <c r="O24" s="5"/>
      <c r="P24" s="5"/>
      <c r="Q24" s="5"/>
      <c r="R24" s="20">
        <f t="shared" si="0"/>
        <v>11.813191489361699</v>
      </c>
      <c r="S24" s="6"/>
    </row>
    <row r="25" spans="1:19" s="2" customFormat="1" ht="20.100000000000001" customHeight="1">
      <c r="A25" s="4" t="s">
        <v>6</v>
      </c>
      <c r="B25" s="3" t="s">
        <v>53</v>
      </c>
      <c r="C25" s="4" t="s">
        <v>54</v>
      </c>
      <c r="D25" s="4">
        <v>19.239999999999998</v>
      </c>
      <c r="E25" s="28">
        <v>2011</v>
      </c>
      <c r="F25" s="5">
        <v>2.1724532224532225</v>
      </c>
      <c r="G25" s="5">
        <v>2.3189189189189192</v>
      </c>
      <c r="H25" s="5">
        <v>2.9883575883575886</v>
      </c>
      <c r="I25" s="5">
        <v>2.576767151767152</v>
      </c>
      <c r="J25" s="5">
        <v>2.5636174636174638</v>
      </c>
      <c r="K25" s="5"/>
      <c r="L25" s="5"/>
      <c r="M25" s="5"/>
      <c r="N25" s="5"/>
      <c r="O25" s="5"/>
      <c r="P25" s="5"/>
      <c r="Q25" s="5"/>
      <c r="R25" s="20">
        <f t="shared" si="0"/>
        <v>12.620114345114345</v>
      </c>
      <c r="S25" s="6"/>
    </row>
    <row r="26" spans="1:19" s="2" customFormat="1" ht="20.100000000000001" customHeight="1">
      <c r="A26" s="4" t="s">
        <v>6</v>
      </c>
      <c r="B26" s="3" t="s">
        <v>55</v>
      </c>
      <c r="C26" s="4" t="s">
        <v>56</v>
      </c>
      <c r="D26" s="4">
        <v>17.45</v>
      </c>
      <c r="E26" s="28">
        <v>2011</v>
      </c>
      <c r="F26" s="5">
        <v>2.1796561604584528</v>
      </c>
      <c r="G26" s="5">
        <v>2.9153581661891117</v>
      </c>
      <c r="H26" s="5">
        <v>2.8351289398280803</v>
      </c>
      <c r="I26" s="5">
        <v>3.5153581661891118</v>
      </c>
      <c r="J26" s="5">
        <v>2.5562750716332379</v>
      </c>
      <c r="K26" s="5"/>
      <c r="L26" s="5"/>
      <c r="M26" s="5"/>
      <c r="N26" s="5"/>
      <c r="O26" s="5"/>
      <c r="P26" s="5"/>
      <c r="Q26" s="5"/>
      <c r="R26" s="20">
        <f t="shared" si="0"/>
        <v>14.001776504297995</v>
      </c>
      <c r="S26" s="6"/>
    </row>
    <row r="27" spans="1:19" s="2" customFormat="1" ht="20.100000000000001" customHeight="1">
      <c r="A27" s="4" t="s">
        <v>6</v>
      </c>
      <c r="B27" s="3" t="s">
        <v>57</v>
      </c>
      <c r="C27" s="4" t="s">
        <v>58</v>
      </c>
      <c r="D27" s="4">
        <v>19.329999999999998</v>
      </c>
      <c r="E27" s="28">
        <v>2011</v>
      </c>
      <c r="F27" s="5">
        <v>1.1762027935851012</v>
      </c>
      <c r="G27" s="5">
        <v>1.5956026901189861</v>
      </c>
      <c r="H27" s="5">
        <v>1.7351267459906883</v>
      </c>
      <c r="I27" s="5">
        <v>2.0061045007759959</v>
      </c>
      <c r="J27" s="5">
        <v>1.6307294361096742</v>
      </c>
      <c r="K27" s="5"/>
      <c r="L27" s="5"/>
      <c r="M27" s="5"/>
      <c r="N27" s="5"/>
      <c r="O27" s="5"/>
      <c r="P27" s="5"/>
      <c r="Q27" s="5"/>
      <c r="R27" s="20">
        <f t="shared" si="0"/>
        <v>8.1437661665804448</v>
      </c>
      <c r="S27" s="6"/>
    </row>
    <row r="28" spans="1:19" s="2" customFormat="1" ht="20.100000000000001" customHeight="1">
      <c r="A28" s="4" t="s">
        <v>6</v>
      </c>
      <c r="B28" s="3" t="s">
        <v>59</v>
      </c>
      <c r="C28" s="4" t="s">
        <v>60</v>
      </c>
      <c r="D28" s="4">
        <v>28.44</v>
      </c>
      <c r="E28" s="28">
        <v>2011</v>
      </c>
      <c r="F28" s="5">
        <v>1.8336497890295358</v>
      </c>
      <c r="G28" s="5">
        <v>2.1212376933895922</v>
      </c>
      <c r="H28" s="5">
        <v>2.7313642756680729</v>
      </c>
      <c r="I28" s="5">
        <v>2.7363572433192687</v>
      </c>
      <c r="J28" s="5">
        <v>1.6810126582278482</v>
      </c>
      <c r="K28" s="5"/>
      <c r="L28" s="5"/>
      <c r="M28" s="5"/>
      <c r="N28" s="5"/>
      <c r="O28" s="5"/>
      <c r="P28" s="5"/>
      <c r="Q28" s="5"/>
      <c r="R28" s="20">
        <f t="shared" si="0"/>
        <v>11.103621659634317</v>
      </c>
      <c r="S28" s="6"/>
    </row>
    <row r="29" spans="1:19" s="2" customFormat="1" ht="20.100000000000001" customHeight="1">
      <c r="A29" s="4" t="s">
        <v>6</v>
      </c>
      <c r="B29" s="3" t="s">
        <v>61</v>
      </c>
      <c r="C29" s="4" t="s">
        <v>62</v>
      </c>
      <c r="D29" s="4">
        <v>29.76</v>
      </c>
      <c r="E29" s="28">
        <v>2011</v>
      </c>
      <c r="F29" s="5">
        <v>1.8160618279569891</v>
      </c>
      <c r="G29" s="5">
        <v>2.3939516129032259</v>
      </c>
      <c r="H29" s="5">
        <v>2.3070228494623657</v>
      </c>
      <c r="I29" s="5">
        <v>2.7256720430107526</v>
      </c>
      <c r="J29" s="5">
        <v>1.5930779569892473</v>
      </c>
      <c r="K29" s="5"/>
      <c r="L29" s="5"/>
      <c r="M29" s="5"/>
      <c r="N29" s="5"/>
      <c r="O29" s="5"/>
      <c r="P29" s="5"/>
      <c r="Q29" s="5"/>
      <c r="R29" s="20">
        <f t="shared" si="0"/>
        <v>10.835786290322581</v>
      </c>
      <c r="S29" s="6"/>
    </row>
    <row r="30" spans="1:19" s="2" customFormat="1" ht="20.100000000000001" customHeight="1">
      <c r="A30" s="4" t="s">
        <v>6</v>
      </c>
      <c r="B30" s="3" t="s">
        <v>63</v>
      </c>
      <c r="C30" s="4" t="s">
        <v>64</v>
      </c>
      <c r="D30" s="4">
        <v>27.43</v>
      </c>
      <c r="E30" s="29">
        <v>2013</v>
      </c>
      <c r="F30" s="5">
        <v>2.5063798760481228</v>
      </c>
      <c r="G30" s="5">
        <v>2.9478672985781991</v>
      </c>
      <c r="H30" s="5">
        <v>3.4983594604447683</v>
      </c>
      <c r="I30" s="5">
        <v>2.393620123951878</v>
      </c>
      <c r="J30" s="5">
        <v>2.8660955158585488</v>
      </c>
      <c r="K30" s="5"/>
      <c r="L30" s="5"/>
      <c r="M30" s="5"/>
      <c r="N30" s="5"/>
      <c r="O30" s="5"/>
      <c r="P30" s="5"/>
      <c r="Q30" s="5"/>
      <c r="R30" s="20">
        <f t="shared" si="0"/>
        <v>14.212322274881517</v>
      </c>
      <c r="S30" s="6"/>
    </row>
    <row r="31" spans="1:19" s="2" customFormat="1" ht="20.100000000000001" customHeight="1">
      <c r="A31" s="4" t="s">
        <v>6</v>
      </c>
      <c r="B31" s="3" t="s">
        <v>65</v>
      </c>
      <c r="C31" s="4" t="s">
        <v>66</v>
      </c>
      <c r="D31" s="4">
        <v>12.48</v>
      </c>
      <c r="E31" s="28">
        <v>2013</v>
      </c>
      <c r="F31" s="5">
        <v>2.6576121794871792</v>
      </c>
      <c r="G31" s="5">
        <v>3.0549679487179486</v>
      </c>
      <c r="H31" s="5">
        <v>3.1356570512820512</v>
      </c>
      <c r="I31" s="5">
        <v>2.5327724358974359</v>
      </c>
      <c r="J31" s="5">
        <v>3.0114583333333331</v>
      </c>
      <c r="K31" s="5"/>
      <c r="L31" s="5"/>
      <c r="M31" s="5"/>
      <c r="N31" s="5"/>
      <c r="O31" s="5"/>
      <c r="P31" s="5"/>
      <c r="Q31" s="5"/>
      <c r="R31" s="20">
        <f t="shared" si="0"/>
        <v>14.392467948717947</v>
      </c>
      <c r="S31" s="6"/>
    </row>
    <row r="32" spans="1:19" s="2" customFormat="1" ht="20.100000000000001" customHeight="1">
      <c r="A32" s="4" t="s">
        <v>6</v>
      </c>
      <c r="B32" s="3" t="s">
        <v>67</v>
      </c>
      <c r="C32" s="4" t="s">
        <v>68</v>
      </c>
      <c r="D32" s="4">
        <v>19.12</v>
      </c>
      <c r="E32" s="28">
        <v>2011</v>
      </c>
      <c r="F32" s="5">
        <v>2.6001569037656904</v>
      </c>
      <c r="G32" s="5">
        <v>2.5252092050209205</v>
      </c>
      <c r="H32" s="5">
        <v>2.7400627615062758</v>
      </c>
      <c r="I32" s="5">
        <v>2.5644874476987449</v>
      </c>
      <c r="J32" s="5">
        <v>2.3707635983263597</v>
      </c>
      <c r="K32" s="5"/>
      <c r="L32" s="5"/>
      <c r="M32" s="5"/>
      <c r="N32" s="5"/>
      <c r="O32" s="5"/>
      <c r="P32" s="5"/>
      <c r="Q32" s="5"/>
      <c r="R32" s="20">
        <f t="shared" si="0"/>
        <v>12.800679916317991</v>
      </c>
      <c r="S32" s="6"/>
    </row>
    <row r="33" spans="1:19" s="2" customFormat="1" ht="20.100000000000001" customHeight="1">
      <c r="A33" s="4" t="s">
        <v>6</v>
      </c>
      <c r="B33" s="3" t="s">
        <v>69</v>
      </c>
      <c r="C33" s="4" t="s">
        <v>70</v>
      </c>
      <c r="D33" s="4">
        <v>18.88</v>
      </c>
      <c r="E33" s="28">
        <v>2011</v>
      </c>
      <c r="F33" s="5">
        <v>2.5854872881355933</v>
      </c>
      <c r="G33" s="5">
        <v>2.6967161016949155</v>
      </c>
      <c r="H33" s="5">
        <v>2.8136122881355932</v>
      </c>
      <c r="I33" s="5">
        <v>2.2373940677966102</v>
      </c>
      <c r="J33" s="5">
        <v>2.6281249999999998</v>
      </c>
      <c r="K33" s="5"/>
      <c r="L33" s="5"/>
      <c r="M33" s="5"/>
      <c r="N33" s="5"/>
      <c r="O33" s="5"/>
      <c r="P33" s="5"/>
      <c r="Q33" s="5"/>
      <c r="R33" s="20">
        <f t="shared" si="0"/>
        <v>12.961334745762713</v>
      </c>
      <c r="S33" s="6"/>
    </row>
    <row r="34" spans="1:19" s="2" customFormat="1" ht="20.100000000000001" customHeight="1">
      <c r="A34" s="4" t="s">
        <v>6</v>
      </c>
      <c r="B34" s="3" t="s">
        <v>71</v>
      </c>
      <c r="C34" s="4" t="s">
        <v>72</v>
      </c>
      <c r="D34" s="4">
        <v>27.19</v>
      </c>
      <c r="E34" s="28">
        <v>2011</v>
      </c>
      <c r="F34" s="5">
        <v>2.5778227289444651</v>
      </c>
      <c r="G34" s="5">
        <v>4.0717543214417065</v>
      </c>
      <c r="H34" s="5">
        <v>2.8315557190143434</v>
      </c>
      <c r="I34" s="5">
        <v>4.1134240529606467</v>
      </c>
      <c r="J34" s="5">
        <v>2.5124678190511216</v>
      </c>
      <c r="K34" s="5"/>
      <c r="L34" s="5"/>
      <c r="M34" s="5"/>
      <c r="N34" s="5"/>
      <c r="O34" s="5"/>
      <c r="P34" s="5"/>
      <c r="Q34" s="5"/>
      <c r="R34" s="20">
        <f t="shared" si="0"/>
        <v>16.107024641412284</v>
      </c>
      <c r="S34" s="6"/>
    </row>
    <row r="35" spans="1:19" s="2" customFormat="1" ht="20.100000000000001" customHeight="1">
      <c r="A35" s="4" t="s">
        <v>6</v>
      </c>
      <c r="B35" s="3" t="s">
        <v>73</v>
      </c>
      <c r="C35" s="4" t="s">
        <v>74</v>
      </c>
      <c r="D35" s="4">
        <v>29.83</v>
      </c>
      <c r="E35" s="28">
        <v>2011</v>
      </c>
      <c r="F35" s="5">
        <v>1.4684210526315788</v>
      </c>
      <c r="G35" s="5">
        <v>2.5060006704659741</v>
      </c>
      <c r="H35" s="5">
        <v>1.6301039222259472</v>
      </c>
      <c r="I35" s="5">
        <v>2.621019108280255</v>
      </c>
      <c r="J35" s="5">
        <v>1.6988937311431447</v>
      </c>
      <c r="K35" s="5"/>
      <c r="L35" s="5"/>
      <c r="M35" s="5"/>
      <c r="N35" s="5"/>
      <c r="O35" s="5"/>
      <c r="P35" s="5"/>
      <c r="Q35" s="5"/>
      <c r="R35" s="20">
        <f t="shared" si="0"/>
        <v>9.9244384847468989</v>
      </c>
      <c r="S35" s="6"/>
    </row>
    <row r="36" spans="1:19" s="2" customFormat="1" ht="20.100000000000001" customHeight="1">
      <c r="A36" s="10" t="s">
        <v>6</v>
      </c>
      <c r="B36" s="9" t="s">
        <v>75</v>
      </c>
      <c r="C36" s="10" t="s">
        <v>76</v>
      </c>
      <c r="D36" s="4">
        <v>18.05</v>
      </c>
      <c r="E36" s="28">
        <v>2011</v>
      </c>
      <c r="F36" s="5">
        <v>1.8639335180055401</v>
      </c>
      <c r="G36" s="5">
        <v>3.5573407202216067</v>
      </c>
      <c r="H36" s="5">
        <v>2.8796121883656509</v>
      </c>
      <c r="I36" s="5">
        <v>2.8470360110803323</v>
      </c>
      <c r="J36" s="5">
        <v>2.2054293628808863</v>
      </c>
      <c r="K36" s="5"/>
      <c r="L36" s="5"/>
      <c r="M36" s="5"/>
      <c r="N36" s="5"/>
      <c r="O36" s="5"/>
      <c r="P36" s="5"/>
      <c r="Q36" s="5"/>
      <c r="R36" s="20">
        <f t="shared" si="0"/>
        <v>13.353351800554016</v>
      </c>
      <c r="S36" s="6"/>
    </row>
    <row r="37" spans="1:19" s="2" customFormat="1" ht="20.100000000000001" customHeight="1">
      <c r="A37" s="10" t="s">
        <v>6</v>
      </c>
      <c r="B37" s="9" t="s">
        <v>77</v>
      </c>
      <c r="C37" s="10" t="s">
        <v>78</v>
      </c>
      <c r="D37" s="4">
        <v>17.690000000000001</v>
      </c>
      <c r="E37" s="28">
        <v>2011</v>
      </c>
      <c r="F37" s="5">
        <v>2.182193329564726</v>
      </c>
      <c r="G37" s="5">
        <v>3.2765969474279251</v>
      </c>
      <c r="H37" s="5">
        <v>3.0470887507066138</v>
      </c>
      <c r="I37" s="5">
        <v>2.6240814019219898</v>
      </c>
      <c r="J37" s="5">
        <v>2.4835500282645562</v>
      </c>
      <c r="K37" s="5"/>
      <c r="L37" s="5"/>
      <c r="M37" s="5"/>
      <c r="N37" s="5"/>
      <c r="O37" s="5"/>
      <c r="P37" s="5"/>
      <c r="Q37" s="5"/>
      <c r="R37" s="20">
        <f t="shared" si="0"/>
        <v>13.613510457885811</v>
      </c>
      <c r="S37" s="6"/>
    </row>
    <row r="38" spans="1:19" s="2" customFormat="1" ht="20.100000000000001" customHeight="1">
      <c r="A38" s="10" t="s">
        <v>6</v>
      </c>
      <c r="B38" s="9" t="s">
        <v>79</v>
      </c>
      <c r="C38" s="10" t="s">
        <v>80</v>
      </c>
      <c r="D38" s="4">
        <v>16.920000000000002</v>
      </c>
      <c r="E38" s="28">
        <v>2011</v>
      </c>
      <c r="F38" s="5">
        <v>2.5144208037825058</v>
      </c>
      <c r="G38" s="5">
        <v>3.0631205673758863</v>
      </c>
      <c r="H38" s="5">
        <v>3.0356973995271863</v>
      </c>
      <c r="I38" s="5">
        <v>2.5543144208037827</v>
      </c>
      <c r="J38" s="5">
        <v>2.570508274231678</v>
      </c>
      <c r="K38" s="5"/>
      <c r="L38" s="5"/>
      <c r="M38" s="5"/>
      <c r="N38" s="5"/>
      <c r="O38" s="5"/>
      <c r="P38" s="5"/>
      <c r="Q38" s="5"/>
      <c r="R38" s="20">
        <f t="shared" si="0"/>
        <v>13.738061465721039</v>
      </c>
      <c r="S38" s="6"/>
    </row>
    <row r="39" spans="1:19" s="2" customFormat="1" ht="20.100000000000001" customHeight="1">
      <c r="A39" s="10" t="s">
        <v>6</v>
      </c>
      <c r="B39" s="9" t="s">
        <v>81</v>
      </c>
      <c r="C39" s="10" t="s">
        <v>82</v>
      </c>
      <c r="D39" s="4">
        <v>16.91</v>
      </c>
      <c r="E39" s="28">
        <v>2011</v>
      </c>
      <c r="F39" s="5">
        <v>2.8353636901241868</v>
      </c>
      <c r="G39" s="5">
        <v>3.2845062093435837</v>
      </c>
      <c r="H39" s="5">
        <v>3.3379065641632168</v>
      </c>
      <c r="I39" s="5">
        <v>2.8335895919574217</v>
      </c>
      <c r="J39" s="5">
        <v>2.3034890597279714</v>
      </c>
      <c r="K39" s="5"/>
      <c r="L39" s="5"/>
      <c r="M39" s="5"/>
      <c r="N39" s="5"/>
      <c r="O39" s="5"/>
      <c r="P39" s="5"/>
      <c r="Q39" s="5"/>
      <c r="R39" s="20">
        <f t="shared" si="0"/>
        <v>14.594855115316381</v>
      </c>
      <c r="S39" s="6"/>
    </row>
    <row r="40" spans="1:19" s="2" customFormat="1" ht="20.100000000000001" customHeight="1">
      <c r="A40" s="10" t="s">
        <v>6</v>
      </c>
      <c r="B40" s="9" t="s">
        <v>83</v>
      </c>
      <c r="C40" s="10" t="s">
        <v>84</v>
      </c>
      <c r="D40" s="4">
        <v>29.03</v>
      </c>
      <c r="E40" s="28">
        <v>2011</v>
      </c>
      <c r="F40" s="5">
        <v>1.7739579745091285</v>
      </c>
      <c r="G40" s="5">
        <v>2.9538753014123316</v>
      </c>
      <c r="H40" s="5">
        <v>2.251911815363417</v>
      </c>
      <c r="I40" s="5">
        <v>2.9238374095763002</v>
      </c>
      <c r="J40" s="5">
        <v>1.94853599724423</v>
      </c>
      <c r="K40" s="5"/>
      <c r="L40" s="5"/>
      <c r="M40" s="5"/>
      <c r="N40" s="5"/>
      <c r="O40" s="5"/>
      <c r="P40" s="5"/>
      <c r="Q40" s="5"/>
      <c r="R40" s="20">
        <f t="shared" si="0"/>
        <v>11.852118498105408</v>
      </c>
      <c r="S40" s="6"/>
    </row>
    <row r="41" spans="1:19" s="2" customFormat="1" ht="20.100000000000001" customHeight="1">
      <c r="A41" s="10" t="s">
        <v>6</v>
      </c>
      <c r="B41" s="9" t="s">
        <v>85</v>
      </c>
      <c r="C41" s="10" t="s">
        <v>86</v>
      </c>
      <c r="D41" s="4">
        <v>29.67</v>
      </c>
      <c r="E41" s="28">
        <v>2011</v>
      </c>
      <c r="F41" s="5">
        <v>1.9849342770475225</v>
      </c>
      <c r="G41" s="5">
        <v>3.7231884057971012</v>
      </c>
      <c r="H41" s="5">
        <v>2.471452645770138</v>
      </c>
      <c r="I41" s="5">
        <v>2.6753960229187728</v>
      </c>
      <c r="J41" s="5">
        <v>1.8928547354229861</v>
      </c>
      <c r="K41" s="5"/>
      <c r="L41" s="5"/>
      <c r="M41" s="5"/>
      <c r="N41" s="5"/>
      <c r="O41" s="5"/>
      <c r="P41" s="5"/>
      <c r="Q41" s="5"/>
      <c r="R41" s="20">
        <f t="shared" si="0"/>
        <v>12.747826086956522</v>
      </c>
      <c r="S41" s="6"/>
    </row>
    <row r="42" spans="1:19" s="2" customFormat="1" ht="20.100000000000001" customHeight="1">
      <c r="A42" s="10" t="s">
        <v>6</v>
      </c>
      <c r="B42" s="9" t="s">
        <v>87</v>
      </c>
      <c r="C42" s="10" t="s">
        <v>88</v>
      </c>
      <c r="D42" s="4">
        <v>28.75</v>
      </c>
      <c r="E42" s="28">
        <v>2011</v>
      </c>
      <c r="F42" s="5">
        <v>2.0621217391304349</v>
      </c>
      <c r="G42" s="5">
        <v>3.0701913043478264</v>
      </c>
      <c r="H42" s="5">
        <v>1.7478260869565216</v>
      </c>
      <c r="I42" s="5">
        <v>2.5760000000000001</v>
      </c>
      <c r="J42" s="5">
        <v>1.9720695652173914</v>
      </c>
      <c r="K42" s="5"/>
      <c r="L42" s="5"/>
      <c r="M42" s="5"/>
      <c r="N42" s="5"/>
      <c r="O42" s="5"/>
      <c r="P42" s="5"/>
      <c r="Q42" s="5"/>
      <c r="R42" s="20">
        <f t="shared" si="0"/>
        <v>11.428208695652174</v>
      </c>
      <c r="S42" s="6"/>
    </row>
    <row r="43" spans="1:19" s="2" customFormat="1" ht="15">
      <c r="A43" s="10" t="s">
        <v>89</v>
      </c>
      <c r="B43" s="9" t="s">
        <v>90</v>
      </c>
      <c r="C43" s="10" t="s">
        <v>91</v>
      </c>
      <c r="D43" s="4">
        <v>2.9</v>
      </c>
      <c r="E43" s="28">
        <v>2013</v>
      </c>
      <c r="F43" s="5">
        <v>2.5382758620689656</v>
      </c>
      <c r="G43" s="5">
        <v>2.5879310344827586</v>
      </c>
      <c r="H43" s="5">
        <v>2.6644827586206898</v>
      </c>
      <c r="I43" s="5">
        <v>2.4931034482758623</v>
      </c>
      <c r="J43" s="5">
        <v>1.6351724137931034</v>
      </c>
      <c r="K43" s="5"/>
      <c r="L43" s="5"/>
      <c r="M43" s="5"/>
      <c r="N43" s="5"/>
      <c r="O43" s="5"/>
      <c r="P43" s="5"/>
      <c r="Q43" s="5"/>
      <c r="R43" s="20">
        <f t="shared" si="0"/>
        <v>11.91896551724138</v>
      </c>
      <c r="S43" s="6"/>
    </row>
    <row r="44" spans="1:19" s="2" customFormat="1" ht="15">
      <c r="A44" s="10" t="s">
        <v>89</v>
      </c>
      <c r="B44" s="9" t="s">
        <v>92</v>
      </c>
      <c r="C44" s="10" t="s">
        <v>93</v>
      </c>
      <c r="D44" s="4">
        <v>8.11</v>
      </c>
      <c r="E44" s="28">
        <v>2013</v>
      </c>
      <c r="F44" s="5">
        <v>2.409371146732429</v>
      </c>
      <c r="G44" s="5">
        <v>2.518372379778052</v>
      </c>
      <c r="H44" s="5">
        <v>2.4643649815043158</v>
      </c>
      <c r="I44" s="5">
        <v>2.4685573366214553</v>
      </c>
      <c r="J44" s="5">
        <v>1.6890258939580765</v>
      </c>
      <c r="K44" s="5"/>
      <c r="L44" s="5"/>
      <c r="M44" s="5"/>
      <c r="N44" s="5"/>
      <c r="O44" s="5"/>
      <c r="P44" s="5"/>
      <c r="Q44" s="5"/>
      <c r="R44" s="20">
        <f t="shared" si="0"/>
        <v>11.549691738594328</v>
      </c>
      <c r="S44" s="6"/>
    </row>
    <row r="45" spans="1:19" s="2" customFormat="1" ht="15">
      <c r="A45" s="10" t="s">
        <v>89</v>
      </c>
      <c r="B45" s="9" t="s">
        <v>94</v>
      </c>
      <c r="C45" s="10" t="s">
        <v>95</v>
      </c>
      <c r="D45" s="4">
        <v>13.73</v>
      </c>
      <c r="E45" s="28">
        <v>2013</v>
      </c>
      <c r="F45" s="5">
        <v>2.6209031318281135</v>
      </c>
      <c r="G45" s="5">
        <v>2.8068463219227966</v>
      </c>
      <c r="H45" s="5">
        <v>3.0028404952658412</v>
      </c>
      <c r="I45" s="5">
        <v>2.6897305171158044</v>
      </c>
      <c r="J45" s="5">
        <v>2.0693372177713036</v>
      </c>
      <c r="K45" s="5"/>
      <c r="L45" s="5"/>
      <c r="M45" s="5"/>
      <c r="N45" s="5"/>
      <c r="O45" s="5"/>
      <c r="P45" s="5"/>
      <c r="Q45" s="5"/>
      <c r="R45" s="20">
        <f t="shared" si="0"/>
        <v>13.189657683903858</v>
      </c>
      <c r="S45" s="6"/>
    </row>
    <row r="46" spans="1:19" s="2" customFormat="1" ht="15">
      <c r="A46" s="10" t="s">
        <v>89</v>
      </c>
      <c r="B46" s="9" t="s">
        <v>96</v>
      </c>
      <c r="C46" s="10" t="s">
        <v>97</v>
      </c>
      <c r="D46" s="4">
        <v>18.97</v>
      </c>
      <c r="E46" s="28">
        <v>2013</v>
      </c>
      <c r="F46" s="5">
        <v>2.9812335266209806</v>
      </c>
      <c r="G46" s="5">
        <v>3.4071164997364263</v>
      </c>
      <c r="H46" s="5">
        <v>3.1610964681075382</v>
      </c>
      <c r="I46" s="5">
        <v>2.8522403795466529</v>
      </c>
      <c r="J46" s="5">
        <v>2.2361096468107537</v>
      </c>
      <c r="K46" s="5"/>
      <c r="L46" s="5"/>
      <c r="M46" s="5"/>
      <c r="N46" s="5"/>
      <c r="O46" s="5"/>
      <c r="P46" s="5"/>
      <c r="Q46" s="5"/>
      <c r="R46" s="20">
        <f t="shared" si="0"/>
        <v>14.637796520822352</v>
      </c>
      <c r="S46" s="6"/>
    </row>
    <row r="47" spans="1:19" s="2" customFormat="1" ht="15">
      <c r="A47" s="10" t="s">
        <v>89</v>
      </c>
      <c r="B47" s="9" t="s">
        <v>98</v>
      </c>
      <c r="C47" s="10" t="s">
        <v>99</v>
      </c>
      <c r="D47" s="4">
        <v>20.11</v>
      </c>
      <c r="E47" s="28">
        <v>2013</v>
      </c>
      <c r="F47" s="5">
        <v>2.5117354549975137</v>
      </c>
      <c r="G47" s="5">
        <v>3.4219791148682246</v>
      </c>
      <c r="H47" s="5">
        <v>3.1853306812531081</v>
      </c>
      <c r="I47" s="5">
        <v>2.8009945300845351</v>
      </c>
      <c r="J47" s="5">
        <v>2.2863749378418698</v>
      </c>
      <c r="K47" s="5"/>
      <c r="L47" s="5"/>
      <c r="M47" s="5"/>
      <c r="N47" s="5"/>
      <c r="O47" s="5"/>
      <c r="P47" s="5"/>
      <c r="Q47" s="5"/>
      <c r="R47" s="20">
        <f t="shared" si="0"/>
        <v>14.206414719045252</v>
      </c>
      <c r="S47" s="6"/>
    </row>
    <row r="48" spans="1:19" s="2" customFormat="1" ht="15">
      <c r="A48" s="10" t="s">
        <v>89</v>
      </c>
      <c r="B48" s="9" t="s">
        <v>100</v>
      </c>
      <c r="C48" s="10" t="s">
        <v>101</v>
      </c>
      <c r="D48" s="4">
        <v>19.7</v>
      </c>
      <c r="E48" s="28">
        <v>2013</v>
      </c>
      <c r="F48" s="5">
        <v>2.9868527918781727</v>
      </c>
      <c r="G48" s="5">
        <v>3.2585786802030459</v>
      </c>
      <c r="H48" s="5">
        <v>3.0276649746192894</v>
      </c>
      <c r="I48" s="5">
        <v>2.6385279187817261</v>
      </c>
      <c r="J48" s="5">
        <v>2.0623857868020306</v>
      </c>
      <c r="K48" s="5"/>
      <c r="L48" s="5"/>
      <c r="M48" s="5"/>
      <c r="N48" s="5"/>
      <c r="O48" s="5"/>
      <c r="P48" s="5"/>
      <c r="Q48" s="5"/>
      <c r="R48" s="20">
        <f t="shared" si="0"/>
        <v>13.974010152284265</v>
      </c>
      <c r="S48" s="6"/>
    </row>
    <row r="49" spans="1:19" s="2" customFormat="1" ht="15">
      <c r="A49" s="10" t="s">
        <v>89</v>
      </c>
      <c r="B49" s="9" t="s">
        <v>102</v>
      </c>
      <c r="C49" s="10" t="s">
        <v>103</v>
      </c>
      <c r="D49" s="4">
        <v>15.78</v>
      </c>
      <c r="E49" s="28">
        <v>2013</v>
      </c>
      <c r="F49" s="5">
        <v>2.320595690747782</v>
      </c>
      <c r="G49" s="5">
        <v>2.8497465145754122</v>
      </c>
      <c r="H49" s="5">
        <v>2.7193916349809886</v>
      </c>
      <c r="I49" s="5">
        <v>2.2316223067173637</v>
      </c>
      <c r="J49" s="5">
        <v>2.108238276299113</v>
      </c>
      <c r="K49" s="5"/>
      <c r="L49" s="5"/>
      <c r="M49" s="5"/>
      <c r="N49" s="5"/>
      <c r="O49" s="5"/>
      <c r="P49" s="5"/>
      <c r="Q49" s="5"/>
      <c r="R49" s="20">
        <f t="shared" si="0"/>
        <v>12.229594423320661</v>
      </c>
      <c r="S49" s="6"/>
    </row>
    <row r="50" spans="1:19" s="2" customFormat="1" ht="15">
      <c r="A50" s="10" t="s">
        <v>89</v>
      </c>
      <c r="B50" s="9" t="s">
        <v>104</v>
      </c>
      <c r="C50" s="10" t="s">
        <v>105</v>
      </c>
      <c r="D50" s="4">
        <v>15.24</v>
      </c>
      <c r="E50" s="28">
        <v>2013</v>
      </c>
      <c r="F50" s="5">
        <v>2.1855643044619422</v>
      </c>
      <c r="G50" s="5">
        <v>2.5835958005249346</v>
      </c>
      <c r="H50" s="5">
        <v>2.5166010498687665</v>
      </c>
      <c r="I50" s="5">
        <v>2.0190288713910762</v>
      </c>
      <c r="J50" s="5">
        <v>2.2148950131233596</v>
      </c>
      <c r="K50" s="5"/>
      <c r="L50" s="5"/>
      <c r="M50" s="5"/>
      <c r="N50" s="5"/>
      <c r="O50" s="5"/>
      <c r="P50" s="5"/>
      <c r="Q50" s="5"/>
      <c r="R50" s="20">
        <f t="shared" si="0"/>
        <v>11.519685039370081</v>
      </c>
      <c r="S50" s="6"/>
    </row>
    <row r="51" spans="1:19" s="2" customFormat="1" ht="15">
      <c r="A51" s="10" t="s">
        <v>89</v>
      </c>
      <c r="B51" s="9" t="s">
        <v>106</v>
      </c>
      <c r="C51" s="10" t="s">
        <v>107</v>
      </c>
      <c r="D51" s="4">
        <v>13.99</v>
      </c>
      <c r="E51" s="28">
        <v>2013</v>
      </c>
      <c r="F51" s="5">
        <v>2.5923516797712649</v>
      </c>
      <c r="G51" s="5">
        <v>3.1476054324517513</v>
      </c>
      <c r="H51" s="5">
        <v>3.0256611865618299</v>
      </c>
      <c r="I51" s="5">
        <v>2.4619013581129381</v>
      </c>
      <c r="J51" s="5">
        <v>2.2525375268048604</v>
      </c>
      <c r="K51" s="5"/>
      <c r="L51" s="5"/>
      <c r="M51" s="5"/>
      <c r="N51" s="5"/>
      <c r="O51" s="5"/>
      <c r="P51" s="5"/>
      <c r="Q51" s="5"/>
      <c r="R51" s="20">
        <f t="shared" si="0"/>
        <v>13.480057183702645</v>
      </c>
      <c r="S51" s="6"/>
    </row>
    <row r="52" spans="1:19" s="2" customFormat="1" ht="15">
      <c r="A52" s="10" t="s">
        <v>89</v>
      </c>
      <c r="B52" s="9" t="s">
        <v>108</v>
      </c>
      <c r="C52" s="10" t="s">
        <v>109</v>
      </c>
      <c r="D52" s="4">
        <v>6.19</v>
      </c>
      <c r="E52" s="28">
        <v>2014</v>
      </c>
      <c r="F52" s="5">
        <v>2.0179321486268171</v>
      </c>
      <c r="G52" s="5">
        <v>2.2072697899838447</v>
      </c>
      <c r="H52" s="5">
        <v>2.239903069466882</v>
      </c>
      <c r="I52" s="5">
        <v>1.9875605815831987</v>
      </c>
      <c r="J52" s="5">
        <v>1.4250403877221325</v>
      </c>
      <c r="K52" s="5"/>
      <c r="L52" s="5"/>
      <c r="M52" s="5"/>
      <c r="N52" s="5"/>
      <c r="O52" s="5"/>
      <c r="P52" s="5"/>
      <c r="Q52" s="5"/>
      <c r="R52" s="20">
        <f t="shared" si="0"/>
        <v>9.8777059773828757</v>
      </c>
      <c r="S52" s="6"/>
    </row>
    <row r="53" spans="1:19" s="2" customFormat="1" ht="15">
      <c r="A53" s="10" t="s">
        <v>89</v>
      </c>
      <c r="B53" s="9" t="s">
        <v>110</v>
      </c>
      <c r="C53" s="10" t="s">
        <v>111</v>
      </c>
      <c r="D53" s="4">
        <v>12.1</v>
      </c>
      <c r="E53" s="28">
        <v>2014</v>
      </c>
      <c r="F53" s="5">
        <v>2.1338016528925619</v>
      </c>
      <c r="G53" s="5">
        <v>2.438347107438017</v>
      </c>
      <c r="H53" s="5">
        <v>2.4733884297520663</v>
      </c>
      <c r="I53" s="5">
        <v>2.227107438016529</v>
      </c>
      <c r="J53" s="5">
        <v>1.4586776859504131</v>
      </c>
      <c r="K53" s="5"/>
      <c r="L53" s="5"/>
      <c r="M53" s="5"/>
      <c r="N53" s="5"/>
      <c r="O53" s="5"/>
      <c r="P53" s="5"/>
      <c r="Q53" s="5"/>
      <c r="R53" s="20">
        <f t="shared" si="0"/>
        <v>10.731322314049589</v>
      </c>
      <c r="S53" s="6"/>
    </row>
    <row r="54" spans="1:19" s="2" customFormat="1" ht="15">
      <c r="A54" s="10" t="s">
        <v>89</v>
      </c>
      <c r="B54" s="9" t="s">
        <v>112</v>
      </c>
      <c r="C54" s="10" t="s">
        <v>113</v>
      </c>
      <c r="D54" s="4">
        <v>16.170000000000002</v>
      </c>
      <c r="E54" s="28">
        <v>2014</v>
      </c>
      <c r="F54" s="5">
        <v>2.5136672850958561</v>
      </c>
      <c r="G54" s="5">
        <v>2.8061842918985773</v>
      </c>
      <c r="H54" s="5">
        <v>2.6197278911564621</v>
      </c>
      <c r="I54" s="5">
        <v>2.505689548546691</v>
      </c>
      <c r="J54" s="5">
        <v>1.6943104514533083</v>
      </c>
      <c r="K54" s="5"/>
      <c r="L54" s="5"/>
      <c r="M54" s="5"/>
      <c r="N54" s="5"/>
      <c r="O54" s="5"/>
      <c r="P54" s="5"/>
      <c r="Q54" s="5"/>
      <c r="R54" s="20">
        <f t="shared" si="0"/>
        <v>12.139579468150895</v>
      </c>
      <c r="S54" s="6"/>
    </row>
    <row r="55" spans="1:19" s="2" customFormat="1" ht="15">
      <c r="A55" s="10" t="s">
        <v>89</v>
      </c>
      <c r="B55" s="9" t="s">
        <v>114</v>
      </c>
      <c r="C55" s="10" t="s">
        <v>115</v>
      </c>
      <c r="D55" s="4">
        <v>1.8</v>
      </c>
      <c r="E55" s="29">
        <v>2013</v>
      </c>
      <c r="F55" s="5">
        <v>3.1222222222222222</v>
      </c>
      <c r="G55" s="5">
        <v>1.806111111111111</v>
      </c>
      <c r="H55" s="5">
        <v>2.0866666666666664</v>
      </c>
      <c r="I55" s="5">
        <v>2.8127777777777778</v>
      </c>
      <c r="J55" s="5">
        <v>0.83111111111111113</v>
      </c>
      <c r="K55" s="5"/>
      <c r="L55" s="5"/>
      <c r="M55" s="5"/>
      <c r="N55" s="5"/>
      <c r="O55" s="5"/>
      <c r="P55" s="5"/>
      <c r="Q55" s="5"/>
      <c r="R55" s="20">
        <f t="shared" si="0"/>
        <v>10.658888888888887</v>
      </c>
      <c r="S55" s="6"/>
    </row>
    <row r="56" spans="1:19" s="2" customFormat="1" ht="15">
      <c r="A56" s="10" t="s">
        <v>89</v>
      </c>
      <c r="B56" s="9" t="s">
        <v>116</v>
      </c>
      <c r="C56" s="10" t="s">
        <v>117</v>
      </c>
      <c r="D56" s="4">
        <v>11.94</v>
      </c>
      <c r="E56" s="29">
        <v>2014</v>
      </c>
      <c r="F56" s="5">
        <v>2.7479899497487441</v>
      </c>
      <c r="G56" s="5">
        <v>2.802177554438861</v>
      </c>
      <c r="H56" s="5">
        <v>3.1120603015075381</v>
      </c>
      <c r="I56" s="5">
        <v>2.205276381909548</v>
      </c>
      <c r="J56" s="5">
        <v>1.4875209380234506</v>
      </c>
      <c r="K56" s="5"/>
      <c r="L56" s="5"/>
      <c r="M56" s="5"/>
      <c r="N56" s="5"/>
      <c r="O56" s="5"/>
      <c r="P56" s="5"/>
      <c r="Q56" s="5"/>
      <c r="R56" s="20">
        <f t="shared" si="0"/>
        <v>12.355025125628142</v>
      </c>
      <c r="S56" s="6"/>
    </row>
    <row r="57" spans="1:19" s="2" customFormat="1" ht="15">
      <c r="A57" s="10" t="s">
        <v>89</v>
      </c>
      <c r="B57" s="9" t="s">
        <v>118</v>
      </c>
      <c r="C57" s="10" t="s">
        <v>119</v>
      </c>
      <c r="D57" s="4">
        <v>5.65</v>
      </c>
      <c r="E57" s="29">
        <v>2014</v>
      </c>
      <c r="F57" s="5">
        <v>2.1415929203539821</v>
      </c>
      <c r="G57" s="5">
        <v>2.2732743362831855</v>
      </c>
      <c r="H57" s="5">
        <v>1.8676106194690265</v>
      </c>
      <c r="I57" s="5">
        <v>2.1895575221238937</v>
      </c>
      <c r="J57" s="5">
        <v>1.2162831858407077</v>
      </c>
      <c r="K57" s="5"/>
      <c r="L57" s="5"/>
      <c r="M57" s="5"/>
      <c r="N57" s="5"/>
      <c r="O57" s="5"/>
      <c r="P57" s="5"/>
      <c r="Q57" s="5"/>
      <c r="R57" s="20">
        <f t="shared" si="0"/>
        <v>9.6883185840707942</v>
      </c>
      <c r="S57" s="6"/>
    </row>
    <row r="58" spans="1:19" s="2" customFormat="1" ht="15">
      <c r="A58" s="10" t="s">
        <v>89</v>
      </c>
      <c r="B58" s="9" t="s">
        <v>120</v>
      </c>
      <c r="C58" s="10" t="s">
        <v>121</v>
      </c>
      <c r="D58" s="4">
        <v>14.5</v>
      </c>
      <c r="E58" s="29">
        <v>2013</v>
      </c>
      <c r="F58" s="5">
        <v>2.6129655172413795</v>
      </c>
      <c r="G58" s="5">
        <v>3.3562068965517242</v>
      </c>
      <c r="H58" s="5">
        <v>2.9764827586206897</v>
      </c>
      <c r="I58" s="5">
        <v>2.0019310344827588</v>
      </c>
      <c r="J58" s="5">
        <v>1.6335862068965517</v>
      </c>
      <c r="K58" s="5"/>
      <c r="L58" s="5"/>
      <c r="M58" s="5"/>
      <c r="N58" s="5"/>
      <c r="O58" s="5"/>
      <c r="P58" s="5"/>
      <c r="Q58" s="5"/>
      <c r="R58" s="20">
        <f t="shared" si="0"/>
        <v>12.581172413793105</v>
      </c>
      <c r="S58" s="6"/>
    </row>
    <row r="59" spans="1:19" s="2" customFormat="1" ht="15">
      <c r="A59" s="10" t="s">
        <v>89</v>
      </c>
      <c r="B59" s="9" t="s">
        <v>122</v>
      </c>
      <c r="C59" s="10" t="s">
        <v>123</v>
      </c>
      <c r="D59" s="4">
        <v>9.76</v>
      </c>
      <c r="E59" s="29">
        <v>2014</v>
      </c>
      <c r="F59" s="5">
        <v>1.6649590163934427</v>
      </c>
      <c r="G59" s="5">
        <v>1.8446721311475409</v>
      </c>
      <c r="H59" s="5">
        <v>1.6654713114754101</v>
      </c>
      <c r="I59" s="5">
        <v>1.2425204918032786</v>
      </c>
      <c r="J59" s="5">
        <v>1.7084016393442623</v>
      </c>
      <c r="K59" s="5"/>
      <c r="L59" s="5"/>
      <c r="M59" s="5"/>
      <c r="N59" s="5"/>
      <c r="O59" s="5"/>
      <c r="P59" s="5"/>
      <c r="Q59" s="5"/>
      <c r="R59" s="20">
        <f t="shared" si="0"/>
        <v>8.1260245901639347</v>
      </c>
      <c r="S59" s="6"/>
    </row>
    <row r="60" spans="1:19" s="2" customFormat="1" ht="15">
      <c r="A60" s="10" t="s">
        <v>89</v>
      </c>
      <c r="B60" s="9" t="s">
        <v>124</v>
      </c>
      <c r="C60" s="10" t="s">
        <v>125</v>
      </c>
      <c r="D60" s="4">
        <v>11.17</v>
      </c>
      <c r="E60" s="29">
        <v>2013</v>
      </c>
      <c r="F60" s="5">
        <v>3.3643688451208593</v>
      </c>
      <c r="G60" s="5">
        <v>3.639301700984781</v>
      </c>
      <c r="H60" s="5">
        <v>3.308683974932856</v>
      </c>
      <c r="I60" s="5">
        <v>2.0536257833482541</v>
      </c>
      <c r="J60" s="5">
        <v>3.2970456580125336</v>
      </c>
      <c r="K60" s="5"/>
      <c r="L60" s="5"/>
      <c r="M60" s="5"/>
      <c r="N60" s="5"/>
      <c r="O60" s="5"/>
      <c r="P60" s="5"/>
      <c r="Q60" s="5"/>
      <c r="R60" s="20">
        <f t="shared" si="0"/>
        <v>15.663025962399285</v>
      </c>
      <c r="S60" s="6"/>
    </row>
    <row r="61" spans="1:19" s="2" customFormat="1" ht="15">
      <c r="A61" s="10" t="s">
        <v>89</v>
      </c>
      <c r="B61" s="9" t="s">
        <v>126</v>
      </c>
      <c r="C61" s="10" t="s">
        <v>127</v>
      </c>
      <c r="D61" s="4">
        <v>8.92</v>
      </c>
      <c r="E61" s="29">
        <v>2014</v>
      </c>
      <c r="F61" s="5">
        <v>2.1581838565022422</v>
      </c>
      <c r="G61" s="5">
        <v>2.1365470852017938</v>
      </c>
      <c r="H61" s="5">
        <v>1.7397982062780271</v>
      </c>
      <c r="I61" s="5">
        <v>1.6710762331838565</v>
      </c>
      <c r="J61" s="5">
        <v>2.1116591928251123</v>
      </c>
      <c r="K61" s="5"/>
      <c r="L61" s="5"/>
      <c r="M61" s="5"/>
      <c r="N61" s="5"/>
      <c r="O61" s="5"/>
      <c r="P61" s="5"/>
      <c r="Q61" s="5"/>
      <c r="R61" s="20">
        <f t="shared" si="0"/>
        <v>9.8172645739910323</v>
      </c>
      <c r="S61" s="6"/>
    </row>
    <row r="62" spans="1:19" s="2" customFormat="1" ht="15">
      <c r="A62" s="10" t="s">
        <v>89</v>
      </c>
      <c r="B62" s="9" t="s">
        <v>128</v>
      </c>
      <c r="C62" s="10" t="s">
        <v>129</v>
      </c>
      <c r="D62" s="4">
        <v>11.39</v>
      </c>
      <c r="E62" s="29">
        <v>2013</v>
      </c>
      <c r="F62" s="5">
        <v>2.9369622475856012</v>
      </c>
      <c r="G62" s="5">
        <v>3.2540825285338015</v>
      </c>
      <c r="H62" s="5">
        <v>3.3584723441615449</v>
      </c>
      <c r="I62" s="5">
        <v>2.743283582089552</v>
      </c>
      <c r="J62" s="5">
        <v>2.7623353819139593</v>
      </c>
      <c r="K62" s="5"/>
      <c r="L62" s="5"/>
      <c r="M62" s="5"/>
      <c r="N62" s="5"/>
      <c r="O62" s="5"/>
      <c r="P62" s="5"/>
      <c r="Q62" s="5"/>
      <c r="R62" s="20">
        <f t="shared" si="0"/>
        <v>15.055136084284459</v>
      </c>
      <c r="S62" s="6"/>
    </row>
    <row r="63" spans="1:19" s="2" customFormat="1" ht="15">
      <c r="A63" s="10" t="s">
        <v>89</v>
      </c>
      <c r="B63" s="9" t="s">
        <v>130</v>
      </c>
      <c r="C63" s="10" t="s">
        <v>131</v>
      </c>
      <c r="D63" s="4">
        <v>20.83</v>
      </c>
      <c r="E63" s="29">
        <v>2013</v>
      </c>
      <c r="F63" s="5">
        <v>2.9154104656745079</v>
      </c>
      <c r="G63" s="5">
        <v>3.4178588574171873</v>
      </c>
      <c r="H63" s="5">
        <v>2.3497359577532406</v>
      </c>
      <c r="I63" s="5">
        <v>2.4790206433029289</v>
      </c>
      <c r="J63" s="5">
        <v>2.6981277004320696</v>
      </c>
      <c r="K63" s="5"/>
      <c r="L63" s="5"/>
      <c r="M63" s="5"/>
      <c r="N63" s="5"/>
      <c r="O63" s="5"/>
      <c r="P63" s="5"/>
      <c r="Q63" s="5"/>
      <c r="R63" s="20">
        <f t="shared" si="0"/>
        <v>13.860153624579935</v>
      </c>
      <c r="S63" s="6"/>
    </row>
    <row r="64" spans="1:19" s="2" customFormat="1" ht="15">
      <c r="A64" s="10" t="s">
        <v>89</v>
      </c>
      <c r="B64" s="9" t="s">
        <v>132</v>
      </c>
      <c r="C64" s="10" t="s">
        <v>133</v>
      </c>
      <c r="D64" s="4">
        <v>22.01</v>
      </c>
      <c r="E64" s="29">
        <v>2013</v>
      </c>
      <c r="F64" s="5">
        <v>2.5216719672875967</v>
      </c>
      <c r="G64" s="5">
        <v>3.4431167651067693</v>
      </c>
      <c r="H64" s="5">
        <v>2.229441163107678</v>
      </c>
      <c r="I64" s="5">
        <v>2.1691503861880959</v>
      </c>
      <c r="J64" s="5">
        <v>2.2127214902317127</v>
      </c>
      <c r="K64" s="5"/>
      <c r="L64" s="5"/>
      <c r="M64" s="5"/>
      <c r="N64" s="5"/>
      <c r="O64" s="5"/>
      <c r="P64" s="5"/>
      <c r="Q64" s="5"/>
      <c r="R64" s="20">
        <f t="shared" si="0"/>
        <v>12.576101771921854</v>
      </c>
      <c r="S64" s="6"/>
    </row>
    <row r="65" spans="1:19" s="2" customFormat="1" ht="15">
      <c r="A65" s="10" t="s">
        <v>89</v>
      </c>
      <c r="B65" s="9" t="s">
        <v>134</v>
      </c>
      <c r="C65" s="10" t="s">
        <v>135</v>
      </c>
      <c r="D65" s="4">
        <v>16.87</v>
      </c>
      <c r="E65" s="29">
        <v>2013</v>
      </c>
      <c r="F65" s="5">
        <v>2.0633669235328984</v>
      </c>
      <c r="G65" s="5">
        <v>2.9845287492590398</v>
      </c>
      <c r="H65" s="5">
        <v>1.8705394190871367</v>
      </c>
      <c r="I65" s="5">
        <v>1.9577356253704801</v>
      </c>
      <c r="J65" s="5">
        <v>2.0500889152341433</v>
      </c>
      <c r="K65" s="5"/>
      <c r="L65" s="5"/>
      <c r="M65" s="5"/>
      <c r="N65" s="5"/>
      <c r="O65" s="5"/>
      <c r="P65" s="5"/>
      <c r="Q65" s="5"/>
      <c r="R65" s="20">
        <f t="shared" si="0"/>
        <v>10.926259632483697</v>
      </c>
      <c r="S65" s="6"/>
    </row>
    <row r="66" spans="1:19" s="2" customFormat="1" ht="15">
      <c r="A66" s="10" t="s">
        <v>89</v>
      </c>
      <c r="B66" s="9" t="s">
        <v>136</v>
      </c>
      <c r="C66" s="10" t="s">
        <v>137</v>
      </c>
      <c r="D66" s="4">
        <v>14.05</v>
      </c>
      <c r="E66" s="29">
        <v>2014</v>
      </c>
      <c r="F66" s="5">
        <v>2.0054092526690388</v>
      </c>
      <c r="G66" s="5">
        <v>2.7054092526690394</v>
      </c>
      <c r="H66" s="5">
        <v>1.8039145907473311</v>
      </c>
      <c r="I66" s="5">
        <v>1.7725266903914589</v>
      </c>
      <c r="J66" s="5">
        <v>1.8030604982206404</v>
      </c>
      <c r="K66" s="5"/>
      <c r="L66" s="5"/>
      <c r="M66" s="5"/>
      <c r="N66" s="5"/>
      <c r="O66" s="5"/>
      <c r="P66" s="5"/>
      <c r="Q66" s="5"/>
      <c r="R66" s="20">
        <f t="shared" si="0"/>
        <v>10.090320284697508</v>
      </c>
      <c r="S66" s="6"/>
    </row>
    <row r="67" spans="1:19" s="2" customFormat="1" ht="15">
      <c r="A67" s="10" t="s">
        <v>89</v>
      </c>
      <c r="B67" s="9" t="s">
        <v>138</v>
      </c>
      <c r="C67" s="10" t="s">
        <v>139</v>
      </c>
      <c r="D67" s="4">
        <v>2.4500000000000002</v>
      </c>
      <c r="E67" s="29">
        <v>2013</v>
      </c>
      <c r="F67" s="5">
        <v>1.4816326530612243</v>
      </c>
      <c r="G67" s="5">
        <v>2.3297959183673469</v>
      </c>
      <c r="H67" s="5">
        <v>2.6240816326530614</v>
      </c>
      <c r="I67" s="5">
        <v>1.3763265306122447</v>
      </c>
      <c r="J67" s="5">
        <v>1.4991836734693877</v>
      </c>
      <c r="K67" s="5"/>
      <c r="L67" s="5"/>
      <c r="M67" s="5"/>
      <c r="N67" s="5"/>
      <c r="O67" s="5"/>
      <c r="P67" s="5"/>
      <c r="Q67" s="5"/>
      <c r="R67" s="20">
        <f t="shared" ref="R67:R130" si="1">SUM(F67:Q67)</f>
        <v>9.3110204081632642</v>
      </c>
      <c r="S67" s="6"/>
    </row>
    <row r="68" spans="1:19" s="2" customFormat="1" ht="15">
      <c r="A68" s="10" t="s">
        <v>89</v>
      </c>
      <c r="B68" s="9" t="s">
        <v>140</v>
      </c>
      <c r="C68" s="10" t="s">
        <v>141</v>
      </c>
      <c r="D68" s="4">
        <v>11.43</v>
      </c>
      <c r="E68" s="28">
        <v>2014</v>
      </c>
      <c r="F68" s="5">
        <v>2.124846894138233</v>
      </c>
      <c r="G68" s="5">
        <v>3.0495188101487316</v>
      </c>
      <c r="H68" s="5">
        <v>1.6867891513560804</v>
      </c>
      <c r="I68" s="5">
        <v>1.9377952755905512</v>
      </c>
      <c r="J68" s="5">
        <v>1.8902887139107611</v>
      </c>
      <c r="K68" s="5"/>
      <c r="L68" s="5"/>
      <c r="M68" s="5"/>
      <c r="N68" s="5"/>
      <c r="O68" s="5"/>
      <c r="P68" s="5"/>
      <c r="Q68" s="5"/>
      <c r="R68" s="20">
        <f t="shared" si="1"/>
        <v>10.689238845144358</v>
      </c>
      <c r="S68" s="6"/>
    </row>
    <row r="69" spans="1:19" s="2" customFormat="1" ht="15">
      <c r="A69" s="10" t="s">
        <v>89</v>
      </c>
      <c r="B69" s="9" t="s">
        <v>142</v>
      </c>
      <c r="C69" s="10" t="s">
        <v>143</v>
      </c>
      <c r="D69" s="4">
        <v>9.64</v>
      </c>
      <c r="E69" s="28">
        <v>2014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/>
      <c r="L69" s="5"/>
      <c r="M69" s="5"/>
      <c r="N69" s="5"/>
      <c r="O69" s="5"/>
      <c r="P69" s="5"/>
      <c r="Q69" s="5"/>
      <c r="R69" s="20">
        <f t="shared" si="1"/>
        <v>0</v>
      </c>
      <c r="S69" s="6"/>
    </row>
    <row r="70" spans="1:19" s="2" customFormat="1" ht="15">
      <c r="A70" s="10" t="s">
        <v>89</v>
      </c>
      <c r="B70" s="9" t="s">
        <v>144</v>
      </c>
      <c r="C70" s="10" t="s">
        <v>145</v>
      </c>
      <c r="D70" s="4">
        <v>12.84</v>
      </c>
      <c r="E70" s="28">
        <v>2014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/>
      <c r="L70" s="5"/>
      <c r="M70" s="5"/>
      <c r="N70" s="5"/>
      <c r="O70" s="5"/>
      <c r="P70" s="5"/>
      <c r="Q70" s="5"/>
      <c r="R70" s="20">
        <f t="shared" si="1"/>
        <v>0</v>
      </c>
      <c r="S70" s="6"/>
    </row>
    <row r="71" spans="1:19" s="2" customFormat="1" ht="15">
      <c r="A71" s="10" t="s">
        <v>89</v>
      </c>
      <c r="B71" s="9" t="s">
        <v>146</v>
      </c>
      <c r="C71" s="10" t="s">
        <v>147</v>
      </c>
      <c r="D71" s="4">
        <v>17.38</v>
      </c>
      <c r="E71" s="28">
        <v>2013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/>
      <c r="L71" s="5"/>
      <c r="M71" s="5"/>
      <c r="N71" s="5"/>
      <c r="O71" s="5"/>
      <c r="P71" s="5"/>
      <c r="Q71" s="5"/>
      <c r="R71" s="20">
        <f t="shared" si="1"/>
        <v>0</v>
      </c>
      <c r="S71" s="6"/>
    </row>
    <row r="72" spans="1:19" s="2" customFormat="1" ht="15">
      <c r="A72" s="10" t="s">
        <v>89</v>
      </c>
      <c r="B72" s="9" t="s">
        <v>148</v>
      </c>
      <c r="C72" s="10" t="s">
        <v>149</v>
      </c>
      <c r="D72" s="4">
        <v>18.41</v>
      </c>
      <c r="E72" s="28">
        <v>2013</v>
      </c>
      <c r="F72" s="5">
        <v>1.2404671374253122</v>
      </c>
      <c r="G72" s="5">
        <v>1.2998913633894622</v>
      </c>
      <c r="H72" s="5">
        <v>1.4817490494296579</v>
      </c>
      <c r="I72" s="5">
        <v>1.0172732210755024</v>
      </c>
      <c r="J72" s="5">
        <v>1.1252580119500271</v>
      </c>
      <c r="K72" s="5"/>
      <c r="L72" s="5"/>
      <c r="M72" s="5"/>
      <c r="N72" s="5"/>
      <c r="O72" s="5"/>
      <c r="P72" s="5"/>
      <c r="Q72" s="5"/>
      <c r="R72" s="20">
        <f t="shared" si="1"/>
        <v>6.1646387832699618</v>
      </c>
      <c r="S72" s="6"/>
    </row>
    <row r="73" spans="1:19" s="2" customFormat="1" ht="15">
      <c r="A73" s="10" t="s">
        <v>89</v>
      </c>
      <c r="B73" s="9" t="s">
        <v>150</v>
      </c>
      <c r="C73" s="10" t="s">
        <v>151</v>
      </c>
      <c r="D73" s="4">
        <v>14.5</v>
      </c>
      <c r="E73" s="28">
        <v>2013</v>
      </c>
      <c r="F73" s="5">
        <v>2.3343448275862069</v>
      </c>
      <c r="G73" s="5">
        <v>2.8119999999999998</v>
      </c>
      <c r="H73" s="5">
        <v>2.8627586206896551</v>
      </c>
      <c r="I73" s="5">
        <v>2.0386896551724139</v>
      </c>
      <c r="J73" s="5">
        <v>2.2444827586206899</v>
      </c>
      <c r="K73" s="5"/>
      <c r="L73" s="5"/>
      <c r="M73" s="5"/>
      <c r="N73" s="5"/>
      <c r="O73" s="5"/>
      <c r="P73" s="5"/>
      <c r="Q73" s="5"/>
      <c r="R73" s="20">
        <f t="shared" si="1"/>
        <v>12.292275862068966</v>
      </c>
      <c r="S73" s="6"/>
    </row>
    <row r="74" spans="1:19" s="2" customFormat="1" ht="15">
      <c r="A74" s="10" t="s">
        <v>89</v>
      </c>
      <c r="B74" s="9" t="s">
        <v>152</v>
      </c>
      <c r="C74" s="10" t="s">
        <v>153</v>
      </c>
      <c r="D74" s="4">
        <v>16.829999999999998</v>
      </c>
      <c r="E74" s="28">
        <v>2013</v>
      </c>
      <c r="F74" s="5">
        <v>2.3309566250742724</v>
      </c>
      <c r="G74" s="5">
        <v>2.591146761734997</v>
      </c>
      <c r="H74" s="5">
        <v>2.5882352941176472</v>
      </c>
      <c r="I74" s="5">
        <v>1.6722519310754607</v>
      </c>
      <c r="J74" s="5">
        <v>1.9710635769459299</v>
      </c>
      <c r="K74" s="5"/>
      <c r="L74" s="5"/>
      <c r="M74" s="5"/>
      <c r="N74" s="5"/>
      <c r="O74" s="5"/>
      <c r="P74" s="5"/>
      <c r="Q74" s="5"/>
      <c r="R74" s="20">
        <f t="shared" si="1"/>
        <v>11.153654188948307</v>
      </c>
      <c r="S74" s="6"/>
    </row>
    <row r="75" spans="1:19" s="2" customFormat="1" ht="15">
      <c r="A75" s="10" t="s">
        <v>89</v>
      </c>
      <c r="B75" s="9" t="s">
        <v>154</v>
      </c>
      <c r="C75" s="10" t="s">
        <v>155</v>
      </c>
      <c r="D75" s="4">
        <v>16.510000000000002</v>
      </c>
      <c r="E75" s="28">
        <v>2014</v>
      </c>
      <c r="F75" s="5">
        <v>2.4604482132041183</v>
      </c>
      <c r="G75" s="5">
        <v>2.9987280436099333</v>
      </c>
      <c r="H75" s="5">
        <v>3.1814657783161717</v>
      </c>
      <c r="I75" s="5">
        <v>2.2576014536644458</v>
      </c>
      <c r="J75" s="5">
        <v>2.7849182313749239</v>
      </c>
      <c r="K75" s="5"/>
      <c r="L75" s="5"/>
      <c r="M75" s="5"/>
      <c r="N75" s="5"/>
      <c r="O75" s="5"/>
      <c r="P75" s="5"/>
      <c r="Q75" s="5"/>
      <c r="R75" s="20">
        <f t="shared" si="1"/>
        <v>13.683161720169593</v>
      </c>
      <c r="S75" s="6"/>
    </row>
    <row r="76" spans="1:19" s="2" customFormat="1" ht="15">
      <c r="A76" s="10" t="s">
        <v>89</v>
      </c>
      <c r="B76" s="9" t="s">
        <v>156</v>
      </c>
      <c r="C76" s="10" t="s">
        <v>157</v>
      </c>
      <c r="D76" s="4">
        <v>8.64</v>
      </c>
      <c r="E76" s="28">
        <v>2014</v>
      </c>
      <c r="F76" s="5">
        <v>1.760648148148148</v>
      </c>
      <c r="G76" s="5">
        <v>2.2930555555555552</v>
      </c>
      <c r="H76" s="5">
        <v>2.5384259259259254</v>
      </c>
      <c r="I76" s="5">
        <v>1.9079861111111112</v>
      </c>
      <c r="J76" s="5">
        <v>2.498148148148148</v>
      </c>
      <c r="K76" s="5"/>
      <c r="L76" s="5"/>
      <c r="M76" s="5"/>
      <c r="N76" s="5"/>
      <c r="O76" s="5"/>
      <c r="P76" s="5"/>
      <c r="Q76" s="5"/>
      <c r="R76" s="20">
        <f t="shared" si="1"/>
        <v>10.998263888888888</v>
      </c>
      <c r="S76" s="6"/>
    </row>
    <row r="77" spans="1:19" s="2" customFormat="1" ht="15">
      <c r="A77" s="10" t="s">
        <v>89</v>
      </c>
      <c r="B77" s="9" t="s">
        <v>158</v>
      </c>
      <c r="C77" s="10" t="s">
        <v>159</v>
      </c>
      <c r="D77" s="4">
        <v>15.15</v>
      </c>
      <c r="E77" s="28">
        <v>2014</v>
      </c>
      <c r="F77" s="5">
        <v>2.4234983498349836</v>
      </c>
      <c r="G77" s="5">
        <v>2.7819801980198018</v>
      </c>
      <c r="H77" s="5">
        <v>3.4139273927392737</v>
      </c>
      <c r="I77" s="5">
        <v>2.3291749174917489</v>
      </c>
      <c r="J77" s="5">
        <v>3.2682508250825082</v>
      </c>
      <c r="K77" s="5"/>
      <c r="L77" s="5"/>
      <c r="M77" s="5"/>
      <c r="N77" s="5"/>
      <c r="O77" s="5"/>
      <c r="P77" s="5"/>
      <c r="Q77" s="5"/>
      <c r="R77" s="20">
        <f t="shared" si="1"/>
        <v>14.216831683168316</v>
      </c>
      <c r="S77" s="6"/>
    </row>
    <row r="78" spans="1:19" s="2" customFormat="1" ht="15">
      <c r="A78" s="10" t="s">
        <v>89</v>
      </c>
      <c r="B78" s="9" t="s">
        <v>160</v>
      </c>
      <c r="C78" s="10" t="s">
        <v>161</v>
      </c>
      <c r="D78" s="4">
        <v>21.97</v>
      </c>
      <c r="E78" s="28">
        <v>2014</v>
      </c>
      <c r="F78" s="5">
        <v>1.9616294947655895</v>
      </c>
      <c r="G78" s="5">
        <v>2.331315430131998</v>
      </c>
      <c r="H78" s="5">
        <v>2.7867546654528907</v>
      </c>
      <c r="I78" s="5">
        <v>2.0973600364132907</v>
      </c>
      <c r="J78" s="5">
        <v>2.7867546654528907</v>
      </c>
      <c r="K78" s="5"/>
      <c r="L78" s="5"/>
      <c r="M78" s="5"/>
      <c r="N78" s="5"/>
      <c r="O78" s="5"/>
      <c r="P78" s="5"/>
      <c r="Q78" s="5"/>
      <c r="R78" s="20">
        <f t="shared" si="1"/>
        <v>11.963814292216659</v>
      </c>
      <c r="S78" s="6"/>
    </row>
    <row r="79" spans="1:19" s="2" customFormat="1" ht="15">
      <c r="A79" s="10" t="s">
        <v>89</v>
      </c>
      <c r="B79" s="9" t="s">
        <v>162</v>
      </c>
      <c r="C79" s="10" t="s">
        <v>163</v>
      </c>
      <c r="D79" s="4">
        <v>18.100000000000001</v>
      </c>
      <c r="E79" s="28">
        <v>2014</v>
      </c>
      <c r="F79" s="5">
        <v>1.7740331491712706</v>
      </c>
      <c r="G79" s="5">
        <v>2.1595580110497234</v>
      </c>
      <c r="H79" s="5">
        <v>2.459281767955801</v>
      </c>
      <c r="I79" s="5">
        <v>2.155635359116022</v>
      </c>
      <c r="J79" s="5">
        <v>2.1988397790055245</v>
      </c>
      <c r="K79" s="5"/>
      <c r="L79" s="5"/>
      <c r="M79" s="5"/>
      <c r="N79" s="5"/>
      <c r="O79" s="5"/>
      <c r="P79" s="5"/>
      <c r="Q79" s="5"/>
      <c r="R79" s="20">
        <f t="shared" si="1"/>
        <v>10.747348066298342</v>
      </c>
      <c r="S79" s="6"/>
    </row>
    <row r="80" spans="1:19" s="2" customFormat="1" ht="15">
      <c r="A80" s="10" t="s">
        <v>89</v>
      </c>
      <c r="B80" s="9" t="s">
        <v>164</v>
      </c>
      <c r="C80" s="10" t="s">
        <v>165</v>
      </c>
      <c r="D80" s="4">
        <v>20.149999999999999</v>
      </c>
      <c r="E80" s="28">
        <v>2014</v>
      </c>
      <c r="F80" s="5">
        <v>2.0229280397022333</v>
      </c>
      <c r="G80" s="5">
        <v>2.1888833746898264</v>
      </c>
      <c r="H80" s="5">
        <v>2.6519106699751864</v>
      </c>
      <c r="I80" s="5">
        <v>2.4545905707196032</v>
      </c>
      <c r="J80" s="5">
        <v>1.7013895781637718</v>
      </c>
      <c r="K80" s="5"/>
      <c r="L80" s="5"/>
      <c r="M80" s="5"/>
      <c r="N80" s="5"/>
      <c r="O80" s="5"/>
      <c r="P80" s="5"/>
      <c r="Q80" s="5"/>
      <c r="R80" s="20">
        <f t="shared" si="1"/>
        <v>11.019702233250621</v>
      </c>
      <c r="S80" s="6"/>
    </row>
    <row r="81" spans="1:19" s="2" customFormat="1" ht="15">
      <c r="A81" s="10" t="s">
        <v>89</v>
      </c>
      <c r="B81" s="9" t="s">
        <v>166</v>
      </c>
      <c r="C81" s="10" t="s">
        <v>167</v>
      </c>
      <c r="D81" s="4">
        <v>20.3</v>
      </c>
      <c r="E81" s="28">
        <v>2014</v>
      </c>
      <c r="F81" s="5">
        <v>1.8677339901477832</v>
      </c>
      <c r="G81" s="5">
        <v>2.1326108374384236</v>
      </c>
      <c r="H81" s="5">
        <v>2.3380295566502465</v>
      </c>
      <c r="I81" s="5">
        <v>2.1433004926108374</v>
      </c>
      <c r="J81" s="5">
        <v>1.6123152709359605</v>
      </c>
      <c r="K81" s="5"/>
      <c r="L81" s="5"/>
      <c r="M81" s="5"/>
      <c r="N81" s="5"/>
      <c r="O81" s="5"/>
      <c r="P81" s="5"/>
      <c r="Q81" s="5"/>
      <c r="R81" s="20">
        <f t="shared" si="1"/>
        <v>10.09399014778325</v>
      </c>
      <c r="S81" s="6"/>
    </row>
    <row r="82" spans="1:19" s="2" customFormat="1" ht="15">
      <c r="A82" s="10" t="s">
        <v>89</v>
      </c>
      <c r="B82" s="9" t="s">
        <v>168</v>
      </c>
      <c r="C82" s="10" t="s">
        <v>169</v>
      </c>
      <c r="D82" s="4">
        <v>16.600000000000001</v>
      </c>
      <c r="E82" s="28">
        <v>2014</v>
      </c>
      <c r="F82" s="5">
        <v>2.1215662650602409</v>
      </c>
      <c r="G82" s="5">
        <v>2.7583734939759035</v>
      </c>
      <c r="H82" s="5">
        <v>2.2653614457831321</v>
      </c>
      <c r="I82" s="5">
        <v>2.3196385542168674</v>
      </c>
      <c r="J82" s="5">
        <v>1.7762048192771083</v>
      </c>
      <c r="K82" s="5"/>
      <c r="L82" s="5"/>
      <c r="M82" s="5"/>
      <c r="N82" s="5"/>
      <c r="O82" s="5"/>
      <c r="P82" s="5"/>
      <c r="Q82" s="5"/>
      <c r="R82" s="20">
        <f t="shared" si="1"/>
        <v>11.241144578313252</v>
      </c>
      <c r="S82" s="6"/>
    </row>
    <row r="83" spans="1:19" s="2" customFormat="1" ht="15">
      <c r="A83" s="10" t="s">
        <v>89</v>
      </c>
      <c r="B83" s="9" t="s">
        <v>170</v>
      </c>
      <c r="C83" s="10" t="s">
        <v>171</v>
      </c>
      <c r="D83" s="4">
        <v>11.94</v>
      </c>
      <c r="E83" s="28">
        <v>2014</v>
      </c>
      <c r="F83" s="5">
        <v>1.6463149078726969</v>
      </c>
      <c r="G83" s="5">
        <v>2.3188442211055276</v>
      </c>
      <c r="H83" s="5">
        <v>1.6947236180904524</v>
      </c>
      <c r="I83" s="5">
        <v>2.0546901172529313</v>
      </c>
      <c r="J83" s="5">
        <v>1.5975711892797322</v>
      </c>
      <c r="K83" s="5"/>
      <c r="L83" s="5"/>
      <c r="M83" s="5"/>
      <c r="N83" s="5"/>
      <c r="O83" s="5"/>
      <c r="P83" s="5"/>
      <c r="Q83" s="5"/>
      <c r="R83" s="20">
        <f t="shared" si="1"/>
        <v>9.3121440536013402</v>
      </c>
      <c r="S83" s="6"/>
    </row>
    <row r="84" spans="1:19" s="2" customFormat="1" ht="15">
      <c r="A84" s="10" t="s">
        <v>89</v>
      </c>
      <c r="B84" s="9" t="s">
        <v>172</v>
      </c>
      <c r="C84" s="10" t="s">
        <v>173</v>
      </c>
      <c r="D84" s="4">
        <v>14.6</v>
      </c>
      <c r="E84" s="28">
        <v>2014</v>
      </c>
      <c r="F84" s="5">
        <v>1.9093835616438357</v>
      </c>
      <c r="G84" s="5">
        <v>2.8145890410958905</v>
      </c>
      <c r="H84" s="5">
        <v>1.8768493150684933</v>
      </c>
      <c r="I84" s="5">
        <v>2.2173287671232877</v>
      </c>
      <c r="J84" s="5">
        <v>1.7876712328767124</v>
      </c>
      <c r="K84" s="5"/>
      <c r="L84" s="5"/>
      <c r="M84" s="5"/>
      <c r="N84" s="5"/>
      <c r="O84" s="5"/>
      <c r="P84" s="5"/>
      <c r="Q84" s="5"/>
      <c r="R84" s="20">
        <f t="shared" si="1"/>
        <v>10.605821917808219</v>
      </c>
      <c r="S84" s="6"/>
    </row>
    <row r="85" spans="1:19" s="2" customFormat="1" ht="15">
      <c r="A85" s="10" t="s">
        <v>89</v>
      </c>
      <c r="B85" s="9" t="s">
        <v>174</v>
      </c>
      <c r="C85" s="10" t="s">
        <v>175</v>
      </c>
      <c r="D85" s="4">
        <v>1.4</v>
      </c>
      <c r="E85" s="28">
        <v>2014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/>
      <c r="L85" s="5"/>
      <c r="M85" s="5"/>
      <c r="N85" s="5"/>
      <c r="O85" s="5"/>
      <c r="P85" s="5"/>
      <c r="Q85" s="5"/>
      <c r="R85" s="20">
        <f t="shared" si="1"/>
        <v>0</v>
      </c>
      <c r="S85" s="6"/>
    </row>
    <row r="86" spans="1:19" s="2" customFormat="1" ht="15">
      <c r="A86" s="10" t="s">
        <v>89</v>
      </c>
      <c r="B86" s="9" t="s">
        <v>176</v>
      </c>
      <c r="C86" s="10" t="s">
        <v>177</v>
      </c>
      <c r="D86" s="4">
        <v>13.72</v>
      </c>
      <c r="E86" s="28">
        <v>2014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/>
      <c r="L86" s="5"/>
      <c r="M86" s="5"/>
      <c r="N86" s="5"/>
      <c r="O86" s="5"/>
      <c r="P86" s="5"/>
      <c r="Q86" s="5"/>
      <c r="R86" s="20">
        <f t="shared" si="1"/>
        <v>0</v>
      </c>
      <c r="S86" s="6"/>
    </row>
    <row r="87" spans="1:19" s="2" customFormat="1" ht="15">
      <c r="A87" s="10" t="s">
        <v>89</v>
      </c>
      <c r="B87" s="9" t="s">
        <v>178</v>
      </c>
      <c r="C87" s="10" t="s">
        <v>179</v>
      </c>
      <c r="D87" s="4">
        <v>11.31</v>
      </c>
      <c r="E87" s="28">
        <v>2014</v>
      </c>
      <c r="F87" s="5">
        <v>1.9859416445623341</v>
      </c>
      <c r="G87" s="5">
        <v>2.1976127320954908</v>
      </c>
      <c r="H87" s="5">
        <v>2.1987621573828471</v>
      </c>
      <c r="I87" s="5">
        <v>1.4297082228116711</v>
      </c>
      <c r="J87" s="5">
        <v>1.539522546419098</v>
      </c>
      <c r="K87" s="5"/>
      <c r="L87" s="5"/>
      <c r="M87" s="5"/>
      <c r="N87" s="5"/>
      <c r="O87" s="5"/>
      <c r="P87" s="5"/>
      <c r="Q87" s="5"/>
      <c r="R87" s="20">
        <f t="shared" si="1"/>
        <v>9.3515473032714418</v>
      </c>
      <c r="S87" s="6"/>
    </row>
    <row r="88" spans="1:19" s="2" customFormat="1" ht="15">
      <c r="A88" s="10" t="s">
        <v>89</v>
      </c>
      <c r="B88" s="9" t="s">
        <v>180</v>
      </c>
      <c r="C88" s="10" t="s">
        <v>181</v>
      </c>
      <c r="D88" s="4">
        <v>10.47</v>
      </c>
      <c r="E88" s="28">
        <v>2014</v>
      </c>
      <c r="F88" s="5">
        <v>2.0046800382043934</v>
      </c>
      <c r="G88" s="5">
        <v>2.1850047755491877</v>
      </c>
      <c r="H88" s="5">
        <v>2.3024832855778414</v>
      </c>
      <c r="I88" s="5">
        <v>1.6397325692454632</v>
      </c>
      <c r="J88" s="5">
        <v>1.9709646609360074</v>
      </c>
      <c r="K88" s="5"/>
      <c r="L88" s="5"/>
      <c r="M88" s="5"/>
      <c r="N88" s="5"/>
      <c r="O88" s="5"/>
      <c r="P88" s="5"/>
      <c r="Q88" s="5"/>
      <c r="R88" s="20">
        <f t="shared" si="1"/>
        <v>10.102865329512893</v>
      </c>
      <c r="S88" s="6"/>
    </row>
    <row r="89" spans="1:19" s="2" customFormat="1" ht="15">
      <c r="A89" s="10" t="s">
        <v>89</v>
      </c>
      <c r="B89" s="9" t="s">
        <v>182</v>
      </c>
      <c r="C89" s="10" t="s">
        <v>183</v>
      </c>
      <c r="D89" s="4">
        <v>10.39</v>
      </c>
      <c r="E89" s="28">
        <v>2014</v>
      </c>
      <c r="F89" s="5">
        <v>2.0701636188642922</v>
      </c>
      <c r="G89" s="5">
        <v>2.4963426371511068</v>
      </c>
      <c r="H89" s="5">
        <v>2.4153994225216553</v>
      </c>
      <c r="I89" s="5">
        <v>1.6806544754571704</v>
      </c>
      <c r="J89" s="5">
        <v>2.0204042348411932</v>
      </c>
      <c r="K89" s="5"/>
      <c r="L89" s="5"/>
      <c r="M89" s="5"/>
      <c r="N89" s="5"/>
      <c r="O89" s="5"/>
      <c r="P89" s="5"/>
      <c r="Q89" s="5"/>
      <c r="R89" s="20">
        <f t="shared" si="1"/>
        <v>10.682964388835419</v>
      </c>
      <c r="S89" s="6"/>
    </row>
    <row r="90" spans="1:19" s="2" customFormat="1" ht="15">
      <c r="A90" s="10" t="s">
        <v>89</v>
      </c>
      <c r="B90" s="9" t="s">
        <v>184</v>
      </c>
      <c r="C90" s="10" t="s">
        <v>185</v>
      </c>
      <c r="D90" s="4">
        <v>6.47</v>
      </c>
      <c r="E90" s="28">
        <v>2014</v>
      </c>
      <c r="F90" s="5">
        <v>1.6064914992272024</v>
      </c>
      <c r="G90" s="5">
        <v>1.784853168469861</v>
      </c>
      <c r="H90" s="5">
        <v>1.8791344667697065</v>
      </c>
      <c r="I90" s="5">
        <v>1.4460587326120558</v>
      </c>
      <c r="J90" s="5">
        <v>1.5726429675425038</v>
      </c>
      <c r="K90" s="5"/>
      <c r="L90" s="5"/>
      <c r="M90" s="5"/>
      <c r="N90" s="5"/>
      <c r="O90" s="5"/>
      <c r="P90" s="5"/>
      <c r="Q90" s="5"/>
      <c r="R90" s="20">
        <f t="shared" si="1"/>
        <v>8.2891808346213285</v>
      </c>
      <c r="S90" s="6"/>
    </row>
    <row r="91" spans="1:19" s="2" customFormat="1" ht="15">
      <c r="A91" s="10" t="s">
        <v>89</v>
      </c>
      <c r="B91" s="9" t="s">
        <v>186</v>
      </c>
      <c r="C91" s="10" t="s">
        <v>187</v>
      </c>
      <c r="D91" s="4">
        <v>7.45</v>
      </c>
      <c r="E91" s="28">
        <v>2014</v>
      </c>
      <c r="F91" s="5">
        <v>1.9308724832214763</v>
      </c>
      <c r="G91" s="5">
        <v>2.1212080536912747</v>
      </c>
      <c r="H91" s="5">
        <v>1.714496644295302</v>
      </c>
      <c r="I91" s="5">
        <v>2.2220134228187916</v>
      </c>
      <c r="J91" s="5">
        <v>1.7613422818791946</v>
      </c>
      <c r="K91" s="5"/>
      <c r="L91" s="5"/>
      <c r="M91" s="5"/>
      <c r="N91" s="5"/>
      <c r="O91" s="5"/>
      <c r="P91" s="5"/>
      <c r="Q91" s="5"/>
      <c r="R91" s="20">
        <f t="shared" si="1"/>
        <v>9.7499328859060395</v>
      </c>
      <c r="S91" s="6"/>
    </row>
    <row r="92" spans="1:19" s="2" customFormat="1" ht="15">
      <c r="A92" s="10" t="s">
        <v>89</v>
      </c>
      <c r="B92" s="9" t="s">
        <v>188</v>
      </c>
      <c r="C92" s="10" t="s">
        <v>189</v>
      </c>
      <c r="D92" s="4">
        <v>13.09</v>
      </c>
      <c r="E92" s="28">
        <v>2014</v>
      </c>
      <c r="F92" s="5">
        <v>2.2226890756302522</v>
      </c>
      <c r="G92" s="5">
        <v>2.52987012987013</v>
      </c>
      <c r="H92" s="5">
        <v>1.7938884644766997</v>
      </c>
      <c r="I92" s="5">
        <v>2.1919786096256684</v>
      </c>
      <c r="J92" s="5">
        <v>1.7053475935828877</v>
      </c>
      <c r="K92" s="5"/>
      <c r="L92" s="5"/>
      <c r="M92" s="5"/>
      <c r="N92" s="5"/>
      <c r="O92" s="5"/>
      <c r="P92" s="5"/>
      <c r="Q92" s="5"/>
      <c r="R92" s="20">
        <f t="shared" si="1"/>
        <v>10.443773873185638</v>
      </c>
      <c r="S92" s="6"/>
    </row>
    <row r="93" spans="1:19" s="2" customFormat="1" ht="15">
      <c r="A93" s="10" t="s">
        <v>89</v>
      </c>
      <c r="B93" s="9" t="s">
        <v>190</v>
      </c>
      <c r="C93" s="10" t="s">
        <v>191</v>
      </c>
      <c r="D93" s="4">
        <v>15.33</v>
      </c>
      <c r="E93" s="28">
        <v>2014</v>
      </c>
      <c r="F93" s="5">
        <v>2.0373124592302676</v>
      </c>
      <c r="G93" s="5">
        <v>2.2888454011741683</v>
      </c>
      <c r="H93" s="5">
        <v>1.8541422048271363</v>
      </c>
      <c r="I93" s="5">
        <v>2.163600782778865</v>
      </c>
      <c r="J93" s="5">
        <v>1.6142857142857143</v>
      </c>
      <c r="K93" s="5"/>
      <c r="L93" s="5"/>
      <c r="M93" s="5"/>
      <c r="N93" s="5"/>
      <c r="O93" s="5"/>
      <c r="P93" s="5"/>
      <c r="Q93" s="5"/>
      <c r="R93" s="20">
        <f t="shared" si="1"/>
        <v>9.9581865622961505</v>
      </c>
      <c r="S93" s="6"/>
    </row>
    <row r="94" spans="1:19" s="2" customFormat="1" ht="15">
      <c r="A94" s="10" t="s">
        <v>89</v>
      </c>
      <c r="B94" s="9" t="s">
        <v>192</v>
      </c>
      <c r="C94" s="10" t="s">
        <v>193</v>
      </c>
      <c r="D94" s="4">
        <v>11.8</v>
      </c>
      <c r="E94" s="28">
        <v>2014</v>
      </c>
      <c r="F94" s="5">
        <v>2.3177966101694913</v>
      </c>
      <c r="G94" s="5">
        <v>2.5384745762711862</v>
      </c>
      <c r="H94" s="5">
        <v>1.9565254237288134</v>
      </c>
      <c r="I94" s="5">
        <v>2.3857627118644067</v>
      </c>
      <c r="J94" s="5">
        <v>1.8631355932203388</v>
      </c>
      <c r="K94" s="5"/>
      <c r="L94" s="5"/>
      <c r="M94" s="5"/>
      <c r="N94" s="5"/>
      <c r="O94" s="5"/>
      <c r="P94" s="5"/>
      <c r="Q94" s="5"/>
      <c r="R94" s="20">
        <f t="shared" si="1"/>
        <v>11.061694915254236</v>
      </c>
      <c r="S94" s="6"/>
    </row>
    <row r="95" spans="1:19" s="2" customFormat="1" ht="15">
      <c r="A95" s="10" t="s">
        <v>89</v>
      </c>
      <c r="B95" s="9" t="s">
        <v>194</v>
      </c>
      <c r="C95" s="10" t="s">
        <v>195</v>
      </c>
      <c r="D95" s="4">
        <v>14.29</v>
      </c>
      <c r="E95" s="28">
        <v>2014</v>
      </c>
      <c r="F95" s="5">
        <v>1.8919524142757176</v>
      </c>
      <c r="G95" s="5">
        <v>2.4142757172848146</v>
      </c>
      <c r="H95" s="5">
        <v>1.7221833449965012</v>
      </c>
      <c r="I95" s="5">
        <v>2.0263121063680898</v>
      </c>
      <c r="J95" s="5">
        <v>1.661931420573828</v>
      </c>
      <c r="K95" s="5"/>
      <c r="L95" s="5"/>
      <c r="M95" s="5"/>
      <c r="N95" s="5"/>
      <c r="O95" s="5"/>
      <c r="P95" s="5"/>
      <c r="Q95" s="5"/>
      <c r="R95" s="20">
        <f t="shared" si="1"/>
        <v>9.7166550034989498</v>
      </c>
      <c r="S95" s="6"/>
    </row>
    <row r="96" spans="1:19" s="2" customFormat="1" ht="15">
      <c r="A96" s="10" t="s">
        <v>89</v>
      </c>
      <c r="B96" s="9">
        <v>193</v>
      </c>
      <c r="C96" s="10" t="s">
        <v>196</v>
      </c>
      <c r="D96" s="4">
        <v>1.96</v>
      </c>
      <c r="E96" s="28">
        <v>2014</v>
      </c>
      <c r="F96" s="5">
        <v>1.0107142857142857</v>
      </c>
      <c r="G96" s="5">
        <v>0.89744897959183678</v>
      </c>
      <c r="H96" s="5">
        <v>1.0821428571428571</v>
      </c>
      <c r="I96" s="5">
        <v>1.1755102040816328</v>
      </c>
      <c r="J96" s="5">
        <v>0.63469387755102036</v>
      </c>
      <c r="K96" s="5"/>
      <c r="L96" s="5"/>
      <c r="M96" s="5"/>
      <c r="N96" s="5"/>
      <c r="O96" s="5"/>
      <c r="P96" s="5"/>
      <c r="Q96" s="5"/>
      <c r="R96" s="20">
        <f t="shared" si="1"/>
        <v>4.8005102040816325</v>
      </c>
      <c r="S96" s="6"/>
    </row>
    <row r="97" spans="1:19" s="2" customFormat="1" ht="15">
      <c r="A97" s="10" t="s">
        <v>89</v>
      </c>
      <c r="B97" s="9">
        <v>243</v>
      </c>
      <c r="C97" s="10" t="s">
        <v>197</v>
      </c>
      <c r="D97" s="4">
        <v>1.24</v>
      </c>
      <c r="E97" s="28">
        <v>2015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/>
      <c r="L97" s="5"/>
      <c r="M97" s="5"/>
      <c r="N97" s="5"/>
      <c r="O97" s="5"/>
      <c r="P97" s="5"/>
      <c r="Q97" s="5"/>
      <c r="R97" s="20">
        <f t="shared" si="1"/>
        <v>0</v>
      </c>
      <c r="S97" s="6"/>
    </row>
    <row r="98" spans="1:19" s="2" customFormat="1" ht="15">
      <c r="A98" s="10" t="s">
        <v>89</v>
      </c>
      <c r="B98" s="9" t="s">
        <v>198</v>
      </c>
      <c r="C98" s="10" t="s">
        <v>199</v>
      </c>
      <c r="D98" s="4">
        <v>18.91</v>
      </c>
      <c r="E98" s="28">
        <v>2013</v>
      </c>
      <c r="F98" s="5">
        <v>2.4901639344262292</v>
      </c>
      <c r="G98" s="5">
        <v>2.8732945531464833</v>
      </c>
      <c r="H98" s="5">
        <v>2.8610259122157591</v>
      </c>
      <c r="I98" s="5">
        <v>2.3849814912744578</v>
      </c>
      <c r="J98" s="5">
        <v>2.197937599153887</v>
      </c>
      <c r="K98" s="5"/>
      <c r="L98" s="5"/>
      <c r="M98" s="5"/>
      <c r="N98" s="5"/>
      <c r="O98" s="5"/>
      <c r="P98" s="5"/>
      <c r="Q98" s="5"/>
      <c r="R98" s="20">
        <f t="shared" si="1"/>
        <v>12.807403490216815</v>
      </c>
      <c r="S98" s="6"/>
    </row>
    <row r="99" spans="1:19" s="2" customFormat="1" ht="15">
      <c r="A99" s="10" t="s">
        <v>89</v>
      </c>
      <c r="B99" s="9" t="s">
        <v>200</v>
      </c>
      <c r="C99" s="10" t="s">
        <v>201</v>
      </c>
      <c r="D99" s="4">
        <v>22.69</v>
      </c>
      <c r="E99" s="28">
        <v>2014</v>
      </c>
      <c r="F99" s="5">
        <v>2.1706037902159543</v>
      </c>
      <c r="G99" s="5">
        <v>2.3942706037902157</v>
      </c>
      <c r="H99" s="5">
        <v>2.3587042750110183</v>
      </c>
      <c r="I99" s="5">
        <v>1.7204495372410751</v>
      </c>
      <c r="J99" s="5">
        <v>1.8451300132216835</v>
      </c>
      <c r="K99" s="5"/>
      <c r="L99" s="5"/>
      <c r="M99" s="5"/>
      <c r="N99" s="5"/>
      <c r="O99" s="5"/>
      <c r="P99" s="5"/>
      <c r="Q99" s="5"/>
      <c r="R99" s="20">
        <f t="shared" si="1"/>
        <v>10.489158219479947</v>
      </c>
      <c r="S99" s="6"/>
    </row>
    <row r="100" spans="1:19" s="2" customFormat="1" ht="15">
      <c r="A100" s="10" t="s">
        <v>89</v>
      </c>
      <c r="B100" s="9" t="s">
        <v>202</v>
      </c>
      <c r="C100" s="10" t="s">
        <v>203</v>
      </c>
      <c r="D100" s="4">
        <v>21.85</v>
      </c>
      <c r="E100" s="28">
        <v>2014</v>
      </c>
      <c r="F100" s="5">
        <v>2.1058123569794049</v>
      </c>
      <c r="G100" s="5">
        <v>2.7171167048054916</v>
      </c>
      <c r="H100" s="5">
        <v>1.8068649885583523</v>
      </c>
      <c r="I100" s="5">
        <v>1.9808695652173913</v>
      </c>
      <c r="J100" s="5">
        <v>1.5081922196796338</v>
      </c>
      <c r="K100" s="5"/>
      <c r="L100" s="5"/>
      <c r="M100" s="5"/>
      <c r="N100" s="5"/>
      <c r="O100" s="5"/>
      <c r="P100" s="5"/>
      <c r="Q100" s="5"/>
      <c r="R100" s="20">
        <f t="shared" si="1"/>
        <v>10.118855835240273</v>
      </c>
      <c r="S100" s="6"/>
    </row>
    <row r="101" spans="1:19" s="2" customFormat="1" ht="15">
      <c r="A101" s="10" t="s">
        <v>89</v>
      </c>
      <c r="B101" s="9" t="s">
        <v>204</v>
      </c>
      <c r="C101" s="10" t="s">
        <v>205</v>
      </c>
      <c r="D101" s="4">
        <v>22.27</v>
      </c>
      <c r="E101" s="28">
        <v>2014</v>
      </c>
      <c r="F101" s="5">
        <v>1.6068702290076338</v>
      </c>
      <c r="G101" s="5">
        <v>2.2349797934440954</v>
      </c>
      <c r="H101" s="5">
        <v>1.4759766502020657</v>
      </c>
      <c r="I101" s="5">
        <v>1.7960484957341716</v>
      </c>
      <c r="J101" s="5">
        <v>1.4299057027391109</v>
      </c>
      <c r="K101" s="5"/>
      <c r="L101" s="5"/>
      <c r="M101" s="5"/>
      <c r="N101" s="5"/>
      <c r="O101" s="5"/>
      <c r="P101" s="5"/>
      <c r="Q101" s="5"/>
      <c r="R101" s="20">
        <f t="shared" si="1"/>
        <v>8.543780871127078</v>
      </c>
      <c r="S101" s="6"/>
    </row>
    <row r="102" spans="1:19" s="2" customFormat="1" ht="15">
      <c r="A102" s="10" t="s">
        <v>89</v>
      </c>
      <c r="B102" s="9">
        <v>276</v>
      </c>
      <c r="C102" s="10" t="s">
        <v>109</v>
      </c>
      <c r="D102" s="4">
        <v>0.95</v>
      </c>
      <c r="E102" s="28">
        <v>2022</v>
      </c>
      <c r="F102" s="5">
        <v>1.1547368421052631</v>
      </c>
      <c r="G102" s="5">
        <v>1.8736842105263158</v>
      </c>
      <c r="H102" s="5">
        <v>1.6326315789473687</v>
      </c>
      <c r="I102" s="5">
        <v>1.8768421052631579</v>
      </c>
      <c r="J102" s="5">
        <v>1.4263157894736844</v>
      </c>
      <c r="K102" s="5"/>
      <c r="L102" s="5"/>
      <c r="M102" s="5"/>
      <c r="N102" s="5"/>
      <c r="O102" s="5"/>
      <c r="P102" s="5"/>
      <c r="Q102" s="5"/>
      <c r="R102" s="20">
        <f t="shared" si="1"/>
        <v>7.9642105263157896</v>
      </c>
      <c r="S102" s="6"/>
    </row>
    <row r="103" spans="1:19" s="2" customFormat="1" ht="15">
      <c r="A103" s="10" t="s">
        <v>89</v>
      </c>
      <c r="B103" s="9">
        <v>293</v>
      </c>
      <c r="C103" s="10" t="s">
        <v>196</v>
      </c>
      <c r="D103" s="4">
        <v>3.57</v>
      </c>
      <c r="E103" s="28">
        <v>2022</v>
      </c>
      <c r="F103" s="5">
        <v>1.2288515406162466</v>
      </c>
      <c r="G103" s="5">
        <v>1.4672268907563024</v>
      </c>
      <c r="H103" s="5">
        <v>1.7011204481792717</v>
      </c>
      <c r="I103" s="5">
        <v>1.5907563025210083</v>
      </c>
      <c r="J103" s="5">
        <v>1.3036414565826331</v>
      </c>
      <c r="K103" s="5"/>
      <c r="L103" s="5"/>
      <c r="M103" s="5"/>
      <c r="N103" s="5"/>
      <c r="O103" s="5"/>
      <c r="P103" s="5"/>
      <c r="Q103" s="5"/>
      <c r="R103" s="20">
        <f t="shared" si="1"/>
        <v>7.291596638655462</v>
      </c>
      <c r="S103" s="6"/>
    </row>
    <row r="104" spans="1:19" s="2" customFormat="1" ht="15">
      <c r="A104" s="10" t="s">
        <v>206</v>
      </c>
      <c r="B104" s="9" t="s">
        <v>207</v>
      </c>
      <c r="C104" s="10" t="s">
        <v>208</v>
      </c>
      <c r="D104" s="4">
        <v>20.9</v>
      </c>
      <c r="E104" s="28">
        <v>2014</v>
      </c>
      <c r="F104" s="5">
        <v>1.9321052631578948</v>
      </c>
      <c r="G104" s="5">
        <v>2.2327272727272729</v>
      </c>
      <c r="H104" s="5">
        <v>2.0288516746411487</v>
      </c>
      <c r="I104" s="5">
        <v>1.7728229665071771</v>
      </c>
      <c r="J104" s="5">
        <v>1.6506220095693782</v>
      </c>
      <c r="K104" s="5"/>
      <c r="L104" s="5"/>
      <c r="M104" s="5"/>
      <c r="N104" s="5"/>
      <c r="O104" s="5"/>
      <c r="P104" s="5"/>
      <c r="Q104" s="5"/>
      <c r="R104" s="20">
        <f t="shared" si="1"/>
        <v>9.6171291866028721</v>
      </c>
      <c r="S104" s="6"/>
    </row>
    <row r="105" spans="1:19" s="2" customFormat="1" ht="15">
      <c r="A105" s="10" t="s">
        <v>206</v>
      </c>
      <c r="B105" s="9" t="s">
        <v>209</v>
      </c>
      <c r="C105" s="10" t="s">
        <v>210</v>
      </c>
      <c r="D105" s="4">
        <v>21.54</v>
      </c>
      <c r="E105" s="28">
        <v>2014</v>
      </c>
      <c r="F105" s="5">
        <v>1.996657381615599</v>
      </c>
      <c r="G105" s="5">
        <v>2.0086815227483754</v>
      </c>
      <c r="H105" s="5">
        <v>2.1905292479108636</v>
      </c>
      <c r="I105" s="5">
        <v>1.7136025998142992</v>
      </c>
      <c r="J105" s="5">
        <v>1.5353296193129062</v>
      </c>
      <c r="K105" s="5"/>
      <c r="L105" s="5"/>
      <c r="M105" s="5"/>
      <c r="N105" s="5"/>
      <c r="O105" s="5"/>
      <c r="P105" s="5"/>
      <c r="Q105" s="5"/>
      <c r="R105" s="20">
        <f t="shared" si="1"/>
        <v>9.4448003714020423</v>
      </c>
      <c r="S105" s="6"/>
    </row>
    <row r="106" spans="1:19" s="2" customFormat="1" ht="15">
      <c r="A106" s="10" t="s">
        <v>206</v>
      </c>
      <c r="B106" s="9" t="s">
        <v>211</v>
      </c>
      <c r="C106" s="10" t="s">
        <v>212</v>
      </c>
      <c r="D106" s="4">
        <v>20.18</v>
      </c>
      <c r="E106" s="28">
        <v>2014</v>
      </c>
      <c r="F106" s="5">
        <v>2.3821110009910802</v>
      </c>
      <c r="G106" s="5">
        <v>2.3690782953419225</v>
      </c>
      <c r="H106" s="5">
        <v>2.5354311199207138</v>
      </c>
      <c r="I106" s="5">
        <v>1.5788404360753221</v>
      </c>
      <c r="J106" s="5">
        <v>1.6442021803766107</v>
      </c>
      <c r="K106" s="5"/>
      <c r="L106" s="5"/>
      <c r="M106" s="5"/>
      <c r="N106" s="5"/>
      <c r="O106" s="5"/>
      <c r="P106" s="5"/>
      <c r="Q106" s="5"/>
      <c r="R106" s="20">
        <f t="shared" si="1"/>
        <v>10.509663032705651</v>
      </c>
      <c r="S106" s="6"/>
    </row>
    <row r="107" spans="1:19" s="2" customFormat="1" ht="15">
      <c r="A107" s="10" t="s">
        <v>206</v>
      </c>
      <c r="B107" s="9" t="s">
        <v>213</v>
      </c>
      <c r="C107" s="10" t="s">
        <v>214</v>
      </c>
      <c r="D107" s="4">
        <v>13.33</v>
      </c>
      <c r="E107" s="28">
        <v>2014</v>
      </c>
      <c r="F107" s="5">
        <v>1.8730682670667669</v>
      </c>
      <c r="G107" s="5">
        <v>2.0180795198799699</v>
      </c>
      <c r="H107" s="5">
        <v>2.4017254313578396</v>
      </c>
      <c r="I107" s="5">
        <v>1.5300075018754689</v>
      </c>
      <c r="J107" s="5">
        <v>1.5758439609902475</v>
      </c>
      <c r="K107" s="5"/>
      <c r="L107" s="5"/>
      <c r="M107" s="5"/>
      <c r="N107" s="5"/>
      <c r="O107" s="5"/>
      <c r="P107" s="5"/>
      <c r="Q107" s="5"/>
      <c r="R107" s="20">
        <f t="shared" si="1"/>
        <v>9.3987246811702931</v>
      </c>
      <c r="S107" s="6"/>
    </row>
    <row r="108" spans="1:19" s="2" customFormat="1" ht="15">
      <c r="A108" s="10" t="s">
        <v>206</v>
      </c>
      <c r="B108" s="9" t="s">
        <v>215</v>
      </c>
      <c r="C108" s="10" t="s">
        <v>216</v>
      </c>
      <c r="D108" s="4">
        <v>11.13</v>
      </c>
      <c r="E108" s="28">
        <v>2014</v>
      </c>
      <c r="F108" s="5">
        <v>2.4809523809523806</v>
      </c>
      <c r="G108" s="5">
        <v>2.4454627133872413</v>
      </c>
      <c r="H108" s="5">
        <v>2.4380053908355794</v>
      </c>
      <c r="I108" s="5">
        <v>1.9289308176100628</v>
      </c>
      <c r="J108" s="5">
        <v>1.4559748427672956</v>
      </c>
      <c r="K108" s="5"/>
      <c r="L108" s="5"/>
      <c r="M108" s="5"/>
      <c r="N108" s="5"/>
      <c r="O108" s="5"/>
      <c r="P108" s="5"/>
      <c r="Q108" s="5"/>
      <c r="R108" s="20">
        <f t="shared" si="1"/>
        <v>10.74932614555256</v>
      </c>
      <c r="S108" s="6"/>
    </row>
    <row r="109" spans="1:19" s="2" customFormat="1" ht="15">
      <c r="A109" s="10" t="s">
        <v>206</v>
      </c>
      <c r="B109" s="9" t="s">
        <v>217</v>
      </c>
      <c r="C109" s="10" t="s">
        <v>218</v>
      </c>
      <c r="D109" s="4">
        <v>5.13</v>
      </c>
      <c r="E109" s="29">
        <v>2014</v>
      </c>
      <c r="F109" s="5">
        <v>2.3023391812865497</v>
      </c>
      <c r="G109" s="5">
        <v>2.585185185185185</v>
      </c>
      <c r="H109" s="5">
        <v>2.361598440545809</v>
      </c>
      <c r="I109" s="5">
        <v>1.7567251461988305</v>
      </c>
      <c r="J109" s="5">
        <v>1.5</v>
      </c>
      <c r="K109" s="5"/>
      <c r="L109" s="5"/>
      <c r="M109" s="5"/>
      <c r="N109" s="5"/>
      <c r="O109" s="5"/>
      <c r="P109" s="5"/>
      <c r="Q109" s="5"/>
      <c r="R109" s="20">
        <f t="shared" si="1"/>
        <v>10.505847953216374</v>
      </c>
      <c r="S109" s="6"/>
    </row>
    <row r="110" spans="1:19" s="2" customFormat="1" ht="15">
      <c r="A110" s="10" t="s">
        <v>206</v>
      </c>
      <c r="B110" s="9" t="s">
        <v>219</v>
      </c>
      <c r="C110" s="10" t="s">
        <v>220</v>
      </c>
      <c r="D110" s="4">
        <v>7.8</v>
      </c>
      <c r="E110" s="29">
        <v>2014</v>
      </c>
      <c r="F110" s="5">
        <v>2.3105128205128209</v>
      </c>
      <c r="G110" s="5">
        <v>2.400641025641026</v>
      </c>
      <c r="H110" s="5">
        <v>2.8521794871794874</v>
      </c>
      <c r="I110" s="5">
        <v>1.5701282051282051</v>
      </c>
      <c r="J110" s="5">
        <v>1.9547435897435899</v>
      </c>
      <c r="K110" s="5"/>
      <c r="L110" s="5"/>
      <c r="M110" s="5"/>
      <c r="N110" s="5"/>
      <c r="O110" s="5"/>
      <c r="P110" s="5"/>
      <c r="Q110" s="5"/>
      <c r="R110" s="20">
        <f t="shared" si="1"/>
        <v>11.088205128205129</v>
      </c>
      <c r="S110" s="6"/>
    </row>
    <row r="111" spans="1:19" s="2" customFormat="1" ht="15">
      <c r="A111" s="10" t="s">
        <v>206</v>
      </c>
      <c r="B111" s="9" t="s">
        <v>221</v>
      </c>
      <c r="C111" s="10" t="s">
        <v>222</v>
      </c>
      <c r="D111" s="4">
        <v>1.92</v>
      </c>
      <c r="E111" s="29">
        <v>2014</v>
      </c>
      <c r="F111" s="5">
        <v>2.5453125000000001</v>
      </c>
      <c r="G111" s="5">
        <v>3.0661458333333336</v>
      </c>
      <c r="H111" s="5">
        <v>2.5197916666666669</v>
      </c>
      <c r="I111" s="5">
        <v>1.8843749999999999</v>
      </c>
      <c r="J111" s="5">
        <v>2.2484375000000001</v>
      </c>
      <c r="K111" s="5"/>
      <c r="L111" s="5"/>
      <c r="M111" s="5"/>
      <c r="N111" s="5"/>
      <c r="O111" s="5"/>
      <c r="P111" s="5"/>
      <c r="Q111" s="5"/>
      <c r="R111" s="20">
        <f t="shared" si="1"/>
        <v>12.2640625</v>
      </c>
      <c r="S111" s="6"/>
    </row>
    <row r="112" spans="1:19" s="2" customFormat="1" ht="15">
      <c r="A112" s="10" t="s">
        <v>206</v>
      </c>
      <c r="B112" s="9" t="s">
        <v>223</v>
      </c>
      <c r="C112" s="10" t="s">
        <v>224</v>
      </c>
      <c r="D112" s="4">
        <v>18.62</v>
      </c>
      <c r="E112" s="29">
        <v>2013</v>
      </c>
      <c r="F112" s="5">
        <v>2.5003759398496239</v>
      </c>
      <c r="G112" s="5">
        <v>3.1352309344790545</v>
      </c>
      <c r="H112" s="5">
        <v>2.4879699248120302</v>
      </c>
      <c r="I112" s="5">
        <v>2.0058539205155745</v>
      </c>
      <c r="J112" s="5">
        <v>1.9738453276047261</v>
      </c>
      <c r="K112" s="5"/>
      <c r="L112" s="5"/>
      <c r="M112" s="5"/>
      <c r="N112" s="5"/>
      <c r="O112" s="5"/>
      <c r="P112" s="5"/>
      <c r="Q112" s="5"/>
      <c r="R112" s="20">
        <f t="shared" si="1"/>
        <v>12.103276047261009</v>
      </c>
      <c r="S112" s="6"/>
    </row>
    <row r="113" spans="1:19" s="2" customFormat="1" ht="15">
      <c r="A113" s="10" t="s">
        <v>206</v>
      </c>
      <c r="B113" s="9" t="s">
        <v>225</v>
      </c>
      <c r="C113" s="10" t="s">
        <v>226</v>
      </c>
      <c r="D113" s="4">
        <v>19.079999999999998</v>
      </c>
      <c r="E113" s="29">
        <v>2013</v>
      </c>
      <c r="F113" s="5">
        <v>2.484643605870021</v>
      </c>
      <c r="G113" s="5">
        <v>3.1366876310272542</v>
      </c>
      <c r="H113" s="5">
        <v>2.5054507337526206</v>
      </c>
      <c r="I113" s="5">
        <v>1.8371593291404613</v>
      </c>
      <c r="J113" s="5">
        <v>1.8748951781970653</v>
      </c>
      <c r="K113" s="5"/>
      <c r="L113" s="5"/>
      <c r="M113" s="5"/>
      <c r="N113" s="5"/>
      <c r="O113" s="5"/>
      <c r="P113" s="5"/>
      <c r="Q113" s="5"/>
      <c r="R113" s="20">
        <f t="shared" si="1"/>
        <v>11.838836477987421</v>
      </c>
      <c r="S113" s="6"/>
    </row>
    <row r="114" spans="1:19" s="2" customFormat="1" ht="15">
      <c r="A114" s="10" t="s">
        <v>206</v>
      </c>
      <c r="B114" s="9" t="s">
        <v>227</v>
      </c>
      <c r="C114" s="10" t="s">
        <v>228</v>
      </c>
      <c r="D114" s="4">
        <v>18.29</v>
      </c>
      <c r="E114" s="29">
        <v>2013</v>
      </c>
      <c r="F114" s="5">
        <v>2.4882449425915802</v>
      </c>
      <c r="G114" s="5">
        <v>3.2173865500273373</v>
      </c>
      <c r="H114" s="5">
        <v>2.2406779661016949</v>
      </c>
      <c r="I114" s="5">
        <v>1.5575177692728268</v>
      </c>
      <c r="J114" s="5">
        <v>1.7087479496992894</v>
      </c>
      <c r="K114" s="5"/>
      <c r="L114" s="5"/>
      <c r="M114" s="5"/>
      <c r="N114" s="5"/>
      <c r="O114" s="5"/>
      <c r="P114" s="5"/>
      <c r="Q114" s="5"/>
      <c r="R114" s="20">
        <f t="shared" si="1"/>
        <v>11.212575177692729</v>
      </c>
      <c r="S114" s="6"/>
    </row>
    <row r="115" spans="1:19" s="2" customFormat="1" ht="15">
      <c r="A115" s="10" t="s">
        <v>206</v>
      </c>
      <c r="B115" s="9" t="s">
        <v>229</v>
      </c>
      <c r="C115" s="10" t="s">
        <v>230</v>
      </c>
      <c r="D115" s="4">
        <v>20.73</v>
      </c>
      <c r="E115" s="29">
        <v>2013</v>
      </c>
      <c r="F115" s="5">
        <v>1.9723106608779546</v>
      </c>
      <c r="G115" s="5">
        <v>3.0090689821514713</v>
      </c>
      <c r="H115" s="5">
        <v>2.0392667631452004</v>
      </c>
      <c r="I115" s="5">
        <v>1.6303907380607814</v>
      </c>
      <c r="J115" s="5">
        <v>1.5954655089242642</v>
      </c>
      <c r="K115" s="5"/>
      <c r="L115" s="5"/>
      <c r="M115" s="5"/>
      <c r="N115" s="5"/>
      <c r="O115" s="5"/>
      <c r="P115" s="5"/>
      <c r="Q115" s="5"/>
      <c r="R115" s="20">
        <f t="shared" si="1"/>
        <v>10.24650265315967</v>
      </c>
      <c r="S115" s="6"/>
    </row>
    <row r="116" spans="1:19" s="2" customFormat="1" ht="15">
      <c r="A116" s="10" t="s">
        <v>206</v>
      </c>
      <c r="B116" s="9" t="s">
        <v>231</v>
      </c>
      <c r="C116" s="10" t="s">
        <v>232</v>
      </c>
      <c r="D116" s="4">
        <v>19.010000000000002</v>
      </c>
      <c r="E116" s="29">
        <v>2013</v>
      </c>
      <c r="F116" s="5">
        <v>1.9008942661756969</v>
      </c>
      <c r="G116" s="5">
        <v>2.5974224092582849</v>
      </c>
      <c r="H116" s="5">
        <v>1.7998421883219358</v>
      </c>
      <c r="I116" s="5">
        <v>1.6628090478695421</v>
      </c>
      <c r="J116" s="5">
        <v>1.6379274066280902</v>
      </c>
      <c r="K116" s="5"/>
      <c r="L116" s="5"/>
      <c r="M116" s="5"/>
      <c r="N116" s="5"/>
      <c r="O116" s="5"/>
      <c r="P116" s="5"/>
      <c r="Q116" s="5"/>
      <c r="R116" s="20">
        <f t="shared" si="1"/>
        <v>9.5988953182535504</v>
      </c>
      <c r="S116" s="6"/>
    </row>
    <row r="117" spans="1:19" s="2" customFormat="1" ht="15">
      <c r="A117" s="10" t="s">
        <v>206</v>
      </c>
      <c r="B117" s="9" t="s">
        <v>233</v>
      </c>
      <c r="C117" s="10" t="s">
        <v>234</v>
      </c>
      <c r="D117" s="4">
        <v>29.59</v>
      </c>
      <c r="E117" s="29">
        <v>2013</v>
      </c>
      <c r="F117" s="5">
        <v>1.7376140588036499</v>
      </c>
      <c r="G117" s="5">
        <v>2.5643798580601556</v>
      </c>
      <c r="H117" s="5">
        <v>1.7177086853666779</v>
      </c>
      <c r="I117" s="5">
        <v>1.4072659682325108</v>
      </c>
      <c r="J117" s="5">
        <v>1.4349442379182156</v>
      </c>
      <c r="K117" s="5"/>
      <c r="L117" s="5"/>
      <c r="M117" s="5"/>
      <c r="N117" s="5"/>
      <c r="O117" s="5"/>
      <c r="P117" s="5"/>
      <c r="Q117" s="5"/>
      <c r="R117" s="20">
        <f t="shared" si="1"/>
        <v>8.8619128083812093</v>
      </c>
      <c r="S117" s="6"/>
    </row>
    <row r="118" spans="1:19" s="2" customFormat="1" ht="15">
      <c r="A118" s="10" t="s">
        <v>206</v>
      </c>
      <c r="B118" s="9" t="s">
        <v>235</v>
      </c>
      <c r="C118" s="10" t="s">
        <v>236</v>
      </c>
      <c r="D118" s="4">
        <v>29.75</v>
      </c>
      <c r="E118" s="29">
        <v>2014</v>
      </c>
      <c r="F118" s="5">
        <v>1.6231932773109243</v>
      </c>
      <c r="G118" s="5">
        <v>2.3596302521008403</v>
      </c>
      <c r="H118" s="5">
        <v>1.133579831932773</v>
      </c>
      <c r="I118" s="5">
        <v>1.9890084033613447</v>
      </c>
      <c r="J118" s="5">
        <v>1.2146554621848737</v>
      </c>
      <c r="K118" s="5"/>
      <c r="L118" s="5"/>
      <c r="M118" s="5"/>
      <c r="N118" s="5"/>
      <c r="O118" s="5"/>
      <c r="P118" s="5"/>
      <c r="Q118" s="5"/>
      <c r="R118" s="20">
        <f t="shared" si="1"/>
        <v>8.3200672268907567</v>
      </c>
      <c r="S118" s="6"/>
    </row>
    <row r="119" spans="1:19" s="2" customFormat="1" ht="15">
      <c r="A119" s="10" t="s">
        <v>206</v>
      </c>
      <c r="B119" s="9" t="s">
        <v>237</v>
      </c>
      <c r="C119" s="10" t="s">
        <v>238</v>
      </c>
      <c r="D119" s="4">
        <v>27.53</v>
      </c>
      <c r="E119" s="29">
        <v>2014</v>
      </c>
      <c r="F119" s="5">
        <v>1.863167453686887</v>
      </c>
      <c r="G119" s="5">
        <v>1.8362150381402107</v>
      </c>
      <c r="H119" s="5">
        <v>2.0441336723574284</v>
      </c>
      <c r="I119" s="5">
        <v>2.1043225572103159</v>
      </c>
      <c r="J119" s="5">
        <v>1.3881220486741737</v>
      </c>
      <c r="K119" s="5"/>
      <c r="L119" s="5"/>
      <c r="M119" s="5"/>
      <c r="N119" s="5"/>
      <c r="O119" s="5"/>
      <c r="P119" s="5"/>
      <c r="Q119" s="5"/>
      <c r="R119" s="20">
        <f t="shared" si="1"/>
        <v>9.2359607700690152</v>
      </c>
      <c r="S119" s="6"/>
    </row>
    <row r="120" spans="1:19" s="2" customFormat="1" ht="15">
      <c r="A120" s="10" t="s">
        <v>206</v>
      </c>
      <c r="B120" s="9" t="s">
        <v>239</v>
      </c>
      <c r="C120" s="10" t="s">
        <v>240</v>
      </c>
      <c r="D120" s="4">
        <v>2.5499999999999998</v>
      </c>
      <c r="E120" s="29">
        <v>2013</v>
      </c>
      <c r="F120" s="5">
        <v>2.2615686274509805</v>
      </c>
      <c r="G120" s="5">
        <v>3.0933333333333333</v>
      </c>
      <c r="H120" s="5">
        <v>2.1450980392156866</v>
      </c>
      <c r="I120" s="5">
        <v>1.8501960784313727</v>
      </c>
      <c r="J120" s="5">
        <v>1.4447058823529413</v>
      </c>
      <c r="K120" s="5"/>
      <c r="L120" s="5"/>
      <c r="M120" s="5"/>
      <c r="N120" s="5"/>
      <c r="O120" s="5"/>
      <c r="P120" s="5"/>
      <c r="Q120" s="5"/>
      <c r="R120" s="20">
        <f t="shared" si="1"/>
        <v>10.794901960784316</v>
      </c>
      <c r="S120" s="6"/>
    </row>
    <row r="121" spans="1:19" s="2" customFormat="1" ht="15">
      <c r="A121" s="10" t="s">
        <v>206</v>
      </c>
      <c r="B121" s="9" t="s">
        <v>241</v>
      </c>
      <c r="C121" s="10" t="s">
        <v>242</v>
      </c>
      <c r="D121" s="4">
        <v>17.64</v>
      </c>
      <c r="E121" s="29">
        <v>2014</v>
      </c>
      <c r="F121" s="5">
        <v>1.9834467120181405</v>
      </c>
      <c r="G121" s="5">
        <v>2.5426870748299319</v>
      </c>
      <c r="H121" s="5">
        <v>2.1815759637188208</v>
      </c>
      <c r="I121" s="5">
        <v>1.8467120181405894</v>
      </c>
      <c r="J121" s="5">
        <v>1.034750566893424</v>
      </c>
      <c r="K121" s="5"/>
      <c r="L121" s="5"/>
      <c r="M121" s="5"/>
      <c r="N121" s="5"/>
      <c r="O121" s="5"/>
      <c r="P121" s="5"/>
      <c r="Q121" s="5"/>
      <c r="R121" s="20">
        <f t="shared" si="1"/>
        <v>9.5891723356009066</v>
      </c>
      <c r="S121" s="6"/>
    </row>
    <row r="122" spans="1:19" s="2" customFormat="1" ht="15">
      <c r="A122" s="10" t="s">
        <v>206</v>
      </c>
      <c r="B122" s="9" t="s">
        <v>243</v>
      </c>
      <c r="C122" s="10" t="s">
        <v>244</v>
      </c>
      <c r="D122" s="4">
        <v>3.81</v>
      </c>
      <c r="E122" s="29">
        <v>2013</v>
      </c>
      <c r="F122" s="5">
        <v>1.3863517060367454</v>
      </c>
      <c r="G122" s="5">
        <v>1.972703412073491</v>
      </c>
      <c r="H122" s="5">
        <v>1.6034120734908135</v>
      </c>
      <c r="I122" s="5">
        <v>1.784514435695538</v>
      </c>
      <c r="J122" s="5">
        <v>1.2409448818897637</v>
      </c>
      <c r="K122" s="5"/>
      <c r="L122" s="5"/>
      <c r="M122" s="5"/>
      <c r="N122" s="5"/>
      <c r="O122" s="5"/>
      <c r="P122" s="5"/>
      <c r="Q122" s="5"/>
      <c r="R122" s="20">
        <f t="shared" si="1"/>
        <v>7.9879265091863516</v>
      </c>
      <c r="S122" s="6"/>
    </row>
    <row r="123" spans="1:19" s="2" customFormat="1" ht="15">
      <c r="A123" s="10" t="s">
        <v>206</v>
      </c>
      <c r="B123" s="9" t="s">
        <v>245</v>
      </c>
      <c r="C123" s="10" t="s">
        <v>246</v>
      </c>
      <c r="D123" s="4">
        <v>15.59</v>
      </c>
      <c r="E123" s="28">
        <v>2014</v>
      </c>
      <c r="F123" s="5">
        <v>2.1697883258499036</v>
      </c>
      <c r="G123" s="5">
        <v>2.5592687620269401</v>
      </c>
      <c r="H123" s="5">
        <v>2.5391917896087235</v>
      </c>
      <c r="I123" s="5">
        <v>1.9939704939063501</v>
      </c>
      <c r="J123" s="5">
        <v>1.1856959589480436</v>
      </c>
      <c r="K123" s="5"/>
      <c r="L123" s="5"/>
      <c r="M123" s="5"/>
      <c r="N123" s="5"/>
      <c r="O123" s="5"/>
      <c r="P123" s="5"/>
      <c r="Q123" s="5"/>
      <c r="R123" s="20">
        <f t="shared" si="1"/>
        <v>10.44791533033996</v>
      </c>
      <c r="S123" s="6"/>
    </row>
    <row r="124" spans="1:19" s="2" customFormat="1" ht="15">
      <c r="A124" s="10" t="s">
        <v>206</v>
      </c>
      <c r="B124" s="9" t="s">
        <v>247</v>
      </c>
      <c r="C124" s="10" t="s">
        <v>248</v>
      </c>
      <c r="D124" s="4">
        <v>19.12</v>
      </c>
      <c r="E124" s="28">
        <v>2014</v>
      </c>
      <c r="F124" s="5">
        <v>2.1647489539748954</v>
      </c>
      <c r="G124" s="5">
        <v>2.2335251046025104</v>
      </c>
      <c r="H124" s="5">
        <v>2.1957112970711297</v>
      </c>
      <c r="I124" s="5">
        <v>1.955387029288703</v>
      </c>
      <c r="J124" s="5">
        <v>1.0337866108786611</v>
      </c>
      <c r="K124" s="5"/>
      <c r="L124" s="5"/>
      <c r="M124" s="5"/>
      <c r="N124" s="5"/>
      <c r="O124" s="5"/>
      <c r="P124" s="5"/>
      <c r="Q124" s="5"/>
      <c r="R124" s="20">
        <f t="shared" si="1"/>
        <v>9.5831589958159</v>
      </c>
      <c r="S124" s="6"/>
    </row>
    <row r="125" spans="1:19" s="2" customFormat="1" ht="15">
      <c r="A125" s="10" t="s">
        <v>206</v>
      </c>
      <c r="B125" s="9" t="s">
        <v>249</v>
      </c>
      <c r="C125" s="10" t="s">
        <v>250</v>
      </c>
      <c r="D125" s="4">
        <v>22.93</v>
      </c>
      <c r="E125" s="28">
        <v>2013</v>
      </c>
      <c r="F125" s="5">
        <v>2.8301351940689057</v>
      </c>
      <c r="G125" s="5">
        <v>2.1436546009594419</v>
      </c>
      <c r="H125" s="5">
        <v>2.5067597034452684</v>
      </c>
      <c r="I125" s="5">
        <v>2.0461404273877015</v>
      </c>
      <c r="J125" s="5">
        <v>1.2907544701264719</v>
      </c>
      <c r="K125" s="5"/>
      <c r="L125" s="5"/>
      <c r="M125" s="5"/>
      <c r="N125" s="5"/>
      <c r="O125" s="5"/>
      <c r="P125" s="5"/>
      <c r="Q125" s="5"/>
      <c r="R125" s="20">
        <f t="shared" si="1"/>
        <v>10.81744439598779</v>
      </c>
      <c r="S125" s="6"/>
    </row>
    <row r="126" spans="1:19" s="2" customFormat="1" ht="15">
      <c r="A126" s="10" t="s">
        <v>206</v>
      </c>
      <c r="B126" s="9" t="s">
        <v>251</v>
      </c>
      <c r="C126" s="10" t="s">
        <v>252</v>
      </c>
      <c r="D126" s="4">
        <v>20.34</v>
      </c>
      <c r="E126" s="28">
        <v>2013</v>
      </c>
      <c r="F126" s="5">
        <v>2.9561455260570306</v>
      </c>
      <c r="G126" s="5">
        <v>2.156833824975418</v>
      </c>
      <c r="H126" s="5">
        <v>2.5315142576204526</v>
      </c>
      <c r="I126" s="5">
        <v>2.1723205506391348</v>
      </c>
      <c r="J126" s="5">
        <v>1.4796951819075714</v>
      </c>
      <c r="K126" s="5"/>
      <c r="L126" s="5"/>
      <c r="M126" s="5"/>
      <c r="N126" s="5"/>
      <c r="O126" s="5"/>
      <c r="P126" s="5"/>
      <c r="Q126" s="5"/>
      <c r="R126" s="20">
        <f t="shared" si="1"/>
        <v>11.296509341199608</v>
      </c>
      <c r="S126" s="6"/>
    </row>
    <row r="127" spans="1:19" s="2" customFormat="1" ht="15">
      <c r="A127" s="10" t="s">
        <v>206</v>
      </c>
      <c r="B127" s="9" t="s">
        <v>253</v>
      </c>
      <c r="C127" s="10" t="s">
        <v>254</v>
      </c>
      <c r="D127" s="4">
        <v>19.87</v>
      </c>
      <c r="E127" s="29">
        <v>2014</v>
      </c>
      <c r="F127" s="5">
        <v>2.1731253145445395</v>
      </c>
      <c r="G127" s="5">
        <v>1.654403623553095</v>
      </c>
      <c r="H127" s="5">
        <v>1.9566683442375441</v>
      </c>
      <c r="I127" s="5">
        <v>1.6659788626069452</v>
      </c>
      <c r="J127" s="5">
        <v>1.1390035228988424</v>
      </c>
      <c r="K127" s="5"/>
      <c r="L127" s="5"/>
      <c r="M127" s="5"/>
      <c r="N127" s="5"/>
      <c r="O127" s="5"/>
      <c r="P127" s="5"/>
      <c r="Q127" s="5"/>
      <c r="R127" s="20">
        <f t="shared" si="1"/>
        <v>8.5891796678409662</v>
      </c>
      <c r="S127" s="6"/>
    </row>
    <row r="128" spans="1:19" s="2" customFormat="1" ht="15">
      <c r="A128" s="10" t="s">
        <v>206</v>
      </c>
      <c r="B128" s="9" t="s">
        <v>255</v>
      </c>
      <c r="C128" s="10" t="s">
        <v>256</v>
      </c>
      <c r="D128" s="4">
        <v>21.37</v>
      </c>
      <c r="E128" s="29">
        <v>2014</v>
      </c>
      <c r="F128" s="5">
        <v>2.0557323350491341</v>
      </c>
      <c r="G128" s="5">
        <v>1.7412728123537671</v>
      </c>
      <c r="H128" s="5">
        <v>2.229948525970987</v>
      </c>
      <c r="I128" s="5">
        <v>1.9667758540009359</v>
      </c>
      <c r="J128" s="5">
        <v>1.20987365465606</v>
      </c>
      <c r="K128" s="5"/>
      <c r="L128" s="5"/>
      <c r="M128" s="5"/>
      <c r="N128" s="5"/>
      <c r="O128" s="5"/>
      <c r="P128" s="5"/>
      <c r="Q128" s="5"/>
      <c r="R128" s="20">
        <f t="shared" si="1"/>
        <v>9.2036031820308839</v>
      </c>
      <c r="S128" s="6"/>
    </row>
    <row r="129" spans="1:19" s="2" customFormat="1" ht="15">
      <c r="A129" s="10" t="s">
        <v>206</v>
      </c>
      <c r="B129" s="9" t="s">
        <v>257</v>
      </c>
      <c r="C129" s="10" t="s">
        <v>258</v>
      </c>
      <c r="D129" s="4">
        <v>21.08</v>
      </c>
      <c r="E129" s="28">
        <v>2014</v>
      </c>
      <c r="F129" s="5">
        <v>2.0203510436432639</v>
      </c>
      <c r="G129" s="5">
        <v>1.4311195445920304</v>
      </c>
      <c r="H129" s="5">
        <v>1.6757115749525617</v>
      </c>
      <c r="I129" s="5">
        <v>1.6992884250474385</v>
      </c>
      <c r="J129" s="5">
        <v>1.0025142314990514</v>
      </c>
      <c r="K129" s="5"/>
      <c r="L129" s="5"/>
      <c r="M129" s="5"/>
      <c r="N129" s="5"/>
      <c r="O129" s="5"/>
      <c r="P129" s="5"/>
      <c r="Q129" s="5"/>
      <c r="R129" s="20">
        <f t="shared" si="1"/>
        <v>7.8289848197343455</v>
      </c>
      <c r="S129" s="6"/>
    </row>
    <row r="130" spans="1:19" s="2" customFormat="1" ht="15">
      <c r="A130" s="10" t="s">
        <v>206</v>
      </c>
      <c r="B130" s="9" t="s">
        <v>259</v>
      </c>
      <c r="C130" s="10" t="s">
        <v>260</v>
      </c>
      <c r="D130" s="4">
        <v>20.48</v>
      </c>
      <c r="E130" s="29">
        <v>2014</v>
      </c>
      <c r="F130" s="5">
        <v>2.3404785156250001</v>
      </c>
      <c r="G130" s="5">
        <v>1.8301757812499999</v>
      </c>
      <c r="H130" s="5">
        <v>2.1064453125</v>
      </c>
      <c r="I130" s="5">
        <v>2.0548828124999998</v>
      </c>
      <c r="J130" s="5">
        <v>1.4508300781250001</v>
      </c>
      <c r="K130" s="5"/>
      <c r="L130" s="5"/>
      <c r="M130" s="5"/>
      <c r="N130" s="5"/>
      <c r="O130" s="5"/>
      <c r="P130" s="5"/>
      <c r="Q130" s="5"/>
      <c r="R130" s="20">
        <f t="shared" si="1"/>
        <v>9.7828125000000004</v>
      </c>
      <c r="S130" s="6"/>
    </row>
    <row r="131" spans="1:19" s="2" customFormat="1" ht="15">
      <c r="A131" s="10" t="s">
        <v>206</v>
      </c>
      <c r="B131" s="9" t="s">
        <v>261</v>
      </c>
      <c r="C131" s="10" t="s">
        <v>262</v>
      </c>
      <c r="D131" s="4">
        <v>18.84</v>
      </c>
      <c r="E131" s="29">
        <v>2014</v>
      </c>
      <c r="F131" s="5">
        <v>2.4652866242038218</v>
      </c>
      <c r="G131" s="5">
        <v>2.309235668789809</v>
      </c>
      <c r="H131" s="5">
        <v>2.6049893842887473</v>
      </c>
      <c r="I131" s="5">
        <v>1.6053078556263269</v>
      </c>
      <c r="J131" s="5">
        <v>1.4618365180467092</v>
      </c>
      <c r="K131" s="5"/>
      <c r="L131" s="5"/>
      <c r="M131" s="5"/>
      <c r="N131" s="5"/>
      <c r="O131" s="5"/>
      <c r="P131" s="5"/>
      <c r="Q131" s="5"/>
      <c r="R131" s="20">
        <f t="shared" ref="R131:R194" si="2">SUM(F131:Q131)</f>
        <v>10.446656050955415</v>
      </c>
      <c r="S131" s="6"/>
    </row>
    <row r="132" spans="1:19" s="2" customFormat="1" ht="15">
      <c r="A132" s="10" t="s">
        <v>206</v>
      </c>
      <c r="B132" s="9" t="s">
        <v>263</v>
      </c>
      <c r="C132" s="10" t="s">
        <v>264</v>
      </c>
      <c r="D132" s="4">
        <v>18.350000000000001</v>
      </c>
      <c r="E132" s="29">
        <v>2014</v>
      </c>
      <c r="F132" s="5">
        <v>2.4246321525885555</v>
      </c>
      <c r="G132" s="5">
        <v>2.0962942779291551</v>
      </c>
      <c r="H132" s="5">
        <v>2.4993460490463213</v>
      </c>
      <c r="I132" s="5">
        <v>1.2646321525885558</v>
      </c>
      <c r="J132" s="5">
        <v>1.2384741144414169</v>
      </c>
      <c r="K132" s="5"/>
      <c r="L132" s="5"/>
      <c r="M132" s="5"/>
      <c r="N132" s="5"/>
      <c r="O132" s="5"/>
      <c r="P132" s="5"/>
      <c r="Q132" s="5"/>
      <c r="R132" s="20">
        <f t="shared" si="2"/>
        <v>9.5233787465940036</v>
      </c>
      <c r="S132" s="6"/>
    </row>
    <row r="133" spans="1:19" s="2" customFormat="1" ht="15">
      <c r="A133" s="10" t="s">
        <v>206</v>
      </c>
      <c r="B133" s="9" t="s">
        <v>265</v>
      </c>
      <c r="C133" s="10" t="s">
        <v>266</v>
      </c>
      <c r="D133" s="4">
        <v>18.25</v>
      </c>
      <c r="E133" s="29">
        <v>2014</v>
      </c>
      <c r="F133" s="5">
        <v>2.7646575342465751</v>
      </c>
      <c r="G133" s="5">
        <v>2.7821369863013699</v>
      </c>
      <c r="H133" s="5">
        <v>1.7523287671232877</v>
      </c>
      <c r="I133" s="5">
        <v>1.5064109589041095</v>
      </c>
      <c r="J133" s="5">
        <v>1.5</v>
      </c>
      <c r="K133" s="5"/>
      <c r="L133" s="5"/>
      <c r="M133" s="5"/>
      <c r="N133" s="5"/>
      <c r="O133" s="5"/>
      <c r="P133" s="5"/>
      <c r="Q133" s="5"/>
      <c r="R133" s="20">
        <f t="shared" si="2"/>
        <v>10.305534246575341</v>
      </c>
      <c r="S133" s="6"/>
    </row>
    <row r="134" spans="1:19" s="2" customFormat="1" ht="15">
      <c r="A134" s="10" t="s">
        <v>206</v>
      </c>
      <c r="B134" s="9" t="s">
        <v>267</v>
      </c>
      <c r="C134" s="10" t="s">
        <v>268</v>
      </c>
      <c r="D134" s="4">
        <v>5</v>
      </c>
      <c r="E134" s="29">
        <v>2014</v>
      </c>
      <c r="F134" s="5">
        <v>1.4494</v>
      </c>
      <c r="G134" s="5">
        <v>2.7706</v>
      </c>
      <c r="H134" s="5">
        <v>1.2144000000000001</v>
      </c>
      <c r="I134" s="5">
        <v>1.3291999999999999</v>
      </c>
      <c r="J134" s="5">
        <v>2.4101999999999997</v>
      </c>
      <c r="K134" s="5"/>
      <c r="L134" s="5"/>
      <c r="M134" s="5"/>
      <c r="N134" s="5"/>
      <c r="O134" s="5"/>
      <c r="P134" s="5"/>
      <c r="Q134" s="5"/>
      <c r="R134" s="20">
        <f t="shared" si="2"/>
        <v>9.1738</v>
      </c>
      <c r="S134" s="6"/>
    </row>
    <row r="135" spans="1:19" s="2" customFormat="1" ht="15">
      <c r="A135" s="10" t="s">
        <v>206</v>
      </c>
      <c r="B135" s="9" t="s">
        <v>269</v>
      </c>
      <c r="C135" s="10" t="s">
        <v>268</v>
      </c>
      <c r="D135" s="4">
        <v>17.38</v>
      </c>
      <c r="E135" s="29">
        <v>2013</v>
      </c>
      <c r="F135" s="5">
        <v>1.6080552359033373</v>
      </c>
      <c r="G135" s="5">
        <v>2.7863060989643267</v>
      </c>
      <c r="H135" s="5">
        <v>1.5731875719217492</v>
      </c>
      <c r="I135" s="5">
        <v>1.5249136939010357</v>
      </c>
      <c r="J135" s="5">
        <v>1.8468929804372844</v>
      </c>
      <c r="K135" s="5"/>
      <c r="L135" s="5"/>
      <c r="M135" s="5"/>
      <c r="N135" s="5"/>
      <c r="O135" s="5"/>
      <c r="P135" s="5"/>
      <c r="Q135" s="5"/>
      <c r="R135" s="20">
        <f t="shared" si="2"/>
        <v>9.3393555811277338</v>
      </c>
      <c r="S135" s="6"/>
    </row>
    <row r="136" spans="1:19" s="2" customFormat="1" ht="15">
      <c r="A136" s="10" t="s">
        <v>206</v>
      </c>
      <c r="B136" s="9" t="s">
        <v>270</v>
      </c>
      <c r="C136" s="10" t="s">
        <v>271</v>
      </c>
      <c r="D136" s="4">
        <v>10.6</v>
      </c>
      <c r="E136" s="29">
        <v>2014</v>
      </c>
      <c r="F136" s="5">
        <v>1.8260377358490567</v>
      </c>
      <c r="G136" s="5">
        <v>3.1236792452830189</v>
      </c>
      <c r="H136" s="5">
        <v>1.5518867924528301</v>
      </c>
      <c r="I136" s="5">
        <v>2.0924528301886793</v>
      </c>
      <c r="J136" s="5">
        <v>1.1866037735849055</v>
      </c>
      <c r="K136" s="5"/>
      <c r="L136" s="5"/>
      <c r="M136" s="5"/>
      <c r="N136" s="5"/>
      <c r="O136" s="5"/>
      <c r="P136" s="5"/>
      <c r="Q136" s="5"/>
      <c r="R136" s="20">
        <f t="shared" si="2"/>
        <v>9.7806603773584904</v>
      </c>
      <c r="S136" s="6"/>
    </row>
    <row r="137" spans="1:19" s="2" customFormat="1" ht="15">
      <c r="A137" s="10" t="s">
        <v>206</v>
      </c>
      <c r="B137" s="9" t="s">
        <v>272</v>
      </c>
      <c r="C137" s="10" t="s">
        <v>273</v>
      </c>
      <c r="D137" s="4">
        <v>16.79</v>
      </c>
      <c r="E137" s="29">
        <v>2014</v>
      </c>
      <c r="F137" s="5">
        <v>1.3626563430613463</v>
      </c>
      <c r="G137" s="5">
        <v>2.8311494937462776</v>
      </c>
      <c r="H137" s="5">
        <v>1.5356164383561646</v>
      </c>
      <c r="I137" s="5">
        <v>2.1637879690291841</v>
      </c>
      <c r="J137" s="5">
        <v>1.5951756998213222</v>
      </c>
      <c r="K137" s="5"/>
      <c r="L137" s="5"/>
      <c r="M137" s="5"/>
      <c r="N137" s="5"/>
      <c r="O137" s="5"/>
      <c r="P137" s="5"/>
      <c r="Q137" s="5"/>
      <c r="R137" s="20">
        <f t="shared" si="2"/>
        <v>9.4883859440142952</v>
      </c>
      <c r="S137" s="6"/>
    </row>
    <row r="138" spans="1:19" s="2" customFormat="1" ht="15">
      <c r="A138" s="10" t="s">
        <v>206</v>
      </c>
      <c r="B138" s="9" t="s">
        <v>274</v>
      </c>
      <c r="C138" s="10" t="s">
        <v>275</v>
      </c>
      <c r="D138" s="4">
        <v>20.84</v>
      </c>
      <c r="E138" s="29">
        <v>2014</v>
      </c>
      <c r="F138" s="5">
        <v>2.0379558541266793</v>
      </c>
      <c r="G138" s="5">
        <v>2.6204414587332052</v>
      </c>
      <c r="H138" s="5">
        <v>1.476295585412668</v>
      </c>
      <c r="I138" s="5">
        <v>1.989299424184261</v>
      </c>
      <c r="J138" s="5">
        <v>1.1068138195777351</v>
      </c>
      <c r="K138" s="5"/>
      <c r="L138" s="5"/>
      <c r="M138" s="5"/>
      <c r="N138" s="5"/>
      <c r="O138" s="5"/>
      <c r="P138" s="5"/>
      <c r="Q138" s="5"/>
      <c r="R138" s="20">
        <f t="shared" si="2"/>
        <v>9.2308061420345489</v>
      </c>
      <c r="S138" s="6"/>
    </row>
    <row r="139" spans="1:19" s="2" customFormat="1" ht="15">
      <c r="A139" s="10" t="s">
        <v>206</v>
      </c>
      <c r="B139" s="9" t="s">
        <v>276</v>
      </c>
      <c r="C139" s="10" t="s">
        <v>277</v>
      </c>
      <c r="D139" s="4">
        <v>20.239999999999998</v>
      </c>
      <c r="E139" s="29">
        <v>2014</v>
      </c>
      <c r="F139" s="5">
        <v>2.5315711462450596</v>
      </c>
      <c r="G139" s="5">
        <v>2.1623517786561264</v>
      </c>
      <c r="H139" s="5">
        <v>1.6134881422924903</v>
      </c>
      <c r="I139" s="5">
        <v>2.1176877470355735</v>
      </c>
      <c r="J139" s="5">
        <v>1.3609189723320161</v>
      </c>
      <c r="K139" s="5"/>
      <c r="L139" s="5"/>
      <c r="M139" s="5"/>
      <c r="N139" s="5"/>
      <c r="O139" s="5"/>
      <c r="P139" s="5"/>
      <c r="Q139" s="5"/>
      <c r="R139" s="20">
        <f t="shared" si="2"/>
        <v>9.7860177865612652</v>
      </c>
      <c r="S139" s="6"/>
    </row>
    <row r="140" spans="1:19" s="2" customFormat="1" ht="15">
      <c r="A140" s="10" t="s">
        <v>206</v>
      </c>
      <c r="B140" s="9" t="s">
        <v>278</v>
      </c>
      <c r="C140" s="10" t="s">
        <v>279</v>
      </c>
      <c r="D140" s="4">
        <v>16.21</v>
      </c>
      <c r="E140" s="29">
        <v>2014</v>
      </c>
      <c r="F140" s="5">
        <v>2.6742751388032078</v>
      </c>
      <c r="G140" s="5">
        <v>2.6608266502159159</v>
      </c>
      <c r="H140" s="5">
        <v>2.4508328192473781</v>
      </c>
      <c r="I140" s="5">
        <v>1.466440468846391</v>
      </c>
      <c r="J140" s="5">
        <v>1.8541640962368906</v>
      </c>
      <c r="K140" s="5"/>
      <c r="L140" s="5"/>
      <c r="M140" s="5"/>
      <c r="N140" s="5"/>
      <c r="O140" s="5"/>
      <c r="P140" s="5"/>
      <c r="Q140" s="5"/>
      <c r="R140" s="20">
        <f t="shared" si="2"/>
        <v>11.106539173349784</v>
      </c>
      <c r="S140" s="6"/>
    </row>
    <row r="141" spans="1:19" s="2" customFormat="1" ht="15">
      <c r="A141" s="10" t="s">
        <v>206</v>
      </c>
      <c r="B141" s="9" t="s">
        <v>280</v>
      </c>
      <c r="C141" s="10" t="s">
        <v>281</v>
      </c>
      <c r="D141" s="4">
        <v>11.18</v>
      </c>
      <c r="E141" s="29">
        <v>2013</v>
      </c>
      <c r="F141" s="5">
        <v>2.9543828264758498</v>
      </c>
      <c r="G141" s="5">
        <v>2.7869409660107336</v>
      </c>
      <c r="H141" s="5">
        <v>2.9712880143112703</v>
      </c>
      <c r="I141" s="5">
        <v>1.8448121645796065</v>
      </c>
      <c r="J141" s="5">
        <v>1.9499105545617175</v>
      </c>
      <c r="K141" s="5"/>
      <c r="L141" s="5"/>
      <c r="M141" s="5"/>
      <c r="N141" s="5"/>
      <c r="O141" s="5"/>
      <c r="P141" s="5"/>
      <c r="Q141" s="5"/>
      <c r="R141" s="20">
        <f t="shared" si="2"/>
        <v>12.507334525939179</v>
      </c>
      <c r="S141" s="6"/>
    </row>
    <row r="142" spans="1:19" s="2" customFormat="1" ht="15">
      <c r="A142" s="10" t="s">
        <v>206</v>
      </c>
      <c r="B142" s="9" t="s">
        <v>282</v>
      </c>
      <c r="C142" s="10" t="s">
        <v>283</v>
      </c>
      <c r="D142" s="4">
        <v>1.56</v>
      </c>
      <c r="E142" s="29">
        <v>2014</v>
      </c>
      <c r="F142" s="5">
        <v>1.2275641025641026</v>
      </c>
      <c r="G142" s="5">
        <v>1.2775641025641025</v>
      </c>
      <c r="H142" s="5">
        <v>1.2237179487179488</v>
      </c>
      <c r="I142" s="5">
        <v>0.84423076923076912</v>
      </c>
      <c r="J142" s="5">
        <v>1.3346153846153845</v>
      </c>
      <c r="K142" s="5"/>
      <c r="L142" s="5"/>
      <c r="M142" s="5"/>
      <c r="N142" s="5"/>
      <c r="O142" s="5"/>
      <c r="P142" s="5"/>
      <c r="Q142" s="5"/>
      <c r="R142" s="20">
        <f t="shared" si="2"/>
        <v>5.9076923076923071</v>
      </c>
      <c r="S142" s="6"/>
    </row>
    <row r="143" spans="1:19" s="2" customFormat="1" ht="15">
      <c r="A143" s="10" t="s">
        <v>206</v>
      </c>
      <c r="B143" s="9" t="s">
        <v>284</v>
      </c>
      <c r="C143" s="10" t="s">
        <v>285</v>
      </c>
      <c r="D143" s="4">
        <v>18.09</v>
      </c>
      <c r="E143" s="29">
        <v>2014</v>
      </c>
      <c r="F143" s="5">
        <v>2.3222775013819792</v>
      </c>
      <c r="G143" s="5">
        <v>1.9606412382531784</v>
      </c>
      <c r="H143" s="5">
        <v>2.5670536207849639</v>
      </c>
      <c r="I143" s="5">
        <v>1.522001105583195</v>
      </c>
      <c r="J143" s="5">
        <v>1.2362631288004422</v>
      </c>
      <c r="K143" s="5"/>
      <c r="L143" s="5"/>
      <c r="M143" s="5"/>
      <c r="N143" s="5"/>
      <c r="O143" s="5"/>
      <c r="P143" s="5"/>
      <c r="Q143" s="5"/>
      <c r="R143" s="20">
        <f t="shared" si="2"/>
        <v>9.608236594803758</v>
      </c>
      <c r="S143" s="6"/>
    </row>
    <row r="144" spans="1:19" s="2" customFormat="1" ht="15">
      <c r="A144" s="10" t="s">
        <v>206</v>
      </c>
      <c r="B144" s="9" t="s">
        <v>286</v>
      </c>
      <c r="C144" s="10" t="s">
        <v>287</v>
      </c>
      <c r="D144" s="4">
        <v>18.41</v>
      </c>
      <c r="E144" s="29">
        <v>2014</v>
      </c>
      <c r="F144" s="5">
        <v>1.9457360130363932</v>
      </c>
      <c r="G144" s="5">
        <v>1.7530689842476916</v>
      </c>
      <c r="H144" s="5">
        <v>2.1824008690928847</v>
      </c>
      <c r="I144" s="5">
        <v>1.4416078218359587</v>
      </c>
      <c r="J144" s="5">
        <v>1.9329712112982074</v>
      </c>
      <c r="K144" s="5"/>
      <c r="L144" s="5"/>
      <c r="M144" s="5"/>
      <c r="N144" s="5"/>
      <c r="O144" s="5"/>
      <c r="P144" s="5"/>
      <c r="Q144" s="5"/>
      <c r="R144" s="20">
        <f t="shared" si="2"/>
        <v>9.255784899511136</v>
      </c>
      <c r="S144" s="6"/>
    </row>
    <row r="145" spans="1:19" s="2" customFormat="1" ht="15">
      <c r="A145" s="10" t="s">
        <v>206</v>
      </c>
      <c r="B145" s="9" t="s">
        <v>288</v>
      </c>
      <c r="C145" s="10" t="s">
        <v>289</v>
      </c>
      <c r="D145" s="4">
        <v>22.45</v>
      </c>
      <c r="E145" s="29">
        <v>2014</v>
      </c>
      <c r="F145" s="5">
        <v>1.381291759465479</v>
      </c>
      <c r="G145" s="5">
        <v>1.3228062360801782</v>
      </c>
      <c r="H145" s="5">
        <v>1.7571492204899777</v>
      </c>
      <c r="I145" s="5">
        <v>1.1265478841870824</v>
      </c>
      <c r="J145" s="5">
        <v>1.1812472160356349</v>
      </c>
      <c r="K145" s="5"/>
      <c r="L145" s="5"/>
      <c r="M145" s="5"/>
      <c r="N145" s="5"/>
      <c r="O145" s="5"/>
      <c r="P145" s="5"/>
      <c r="Q145" s="5"/>
      <c r="R145" s="20">
        <f t="shared" si="2"/>
        <v>6.7690423162583517</v>
      </c>
      <c r="S145" s="6"/>
    </row>
    <row r="146" spans="1:19" s="2" customFormat="1" ht="15">
      <c r="A146" s="10" t="s">
        <v>206</v>
      </c>
      <c r="B146" s="9" t="s">
        <v>290</v>
      </c>
      <c r="C146" s="10" t="s">
        <v>291</v>
      </c>
      <c r="D146" s="4">
        <v>19.89</v>
      </c>
      <c r="E146" s="29">
        <v>2014</v>
      </c>
      <c r="F146" s="5">
        <v>2.2146807440925085</v>
      </c>
      <c r="G146" s="5">
        <v>1.9013071895424838</v>
      </c>
      <c r="H146" s="5">
        <v>2.4799899446958271</v>
      </c>
      <c r="I146" s="5">
        <v>1.3785319255907491</v>
      </c>
      <c r="J146" s="5">
        <v>1.7120160884866766</v>
      </c>
      <c r="K146" s="5"/>
      <c r="L146" s="5"/>
      <c r="M146" s="5"/>
      <c r="N146" s="5"/>
      <c r="O146" s="5"/>
      <c r="P146" s="5"/>
      <c r="Q146" s="5"/>
      <c r="R146" s="20">
        <f t="shared" si="2"/>
        <v>9.6865258924082447</v>
      </c>
      <c r="S146" s="6"/>
    </row>
    <row r="147" spans="1:19" s="2" customFormat="1" ht="15">
      <c r="A147" s="10" t="s">
        <v>206</v>
      </c>
      <c r="B147" s="9" t="s">
        <v>292</v>
      </c>
      <c r="C147" s="10" t="s">
        <v>293</v>
      </c>
      <c r="D147" s="4">
        <v>8.4700000000000006</v>
      </c>
      <c r="E147" s="29">
        <v>2014</v>
      </c>
      <c r="F147" s="5">
        <v>2.005194805194805</v>
      </c>
      <c r="G147" s="5">
        <v>2.1589138134592676</v>
      </c>
      <c r="H147" s="5">
        <v>2.4684769775678865</v>
      </c>
      <c r="I147" s="5">
        <v>1.6690672963400235</v>
      </c>
      <c r="J147" s="5">
        <v>1.4762691853600942</v>
      </c>
      <c r="K147" s="5"/>
      <c r="L147" s="5"/>
      <c r="M147" s="5"/>
      <c r="N147" s="5"/>
      <c r="O147" s="5"/>
      <c r="P147" s="5"/>
      <c r="Q147" s="5"/>
      <c r="R147" s="20">
        <f t="shared" si="2"/>
        <v>9.7779220779220761</v>
      </c>
      <c r="S147" s="6"/>
    </row>
    <row r="148" spans="1:19" s="2" customFormat="1" ht="15">
      <c r="A148" s="10" t="s">
        <v>206</v>
      </c>
      <c r="B148" s="9" t="s">
        <v>294</v>
      </c>
      <c r="C148" s="10" t="s">
        <v>295</v>
      </c>
      <c r="D148" s="4">
        <v>8.9700000000000006</v>
      </c>
      <c r="E148" s="29">
        <v>2014</v>
      </c>
      <c r="F148" s="5">
        <v>2.3198439241917499</v>
      </c>
      <c r="G148" s="5">
        <v>2.4871794871794868</v>
      </c>
      <c r="H148" s="5">
        <v>2.9105908584169451</v>
      </c>
      <c r="I148" s="5">
        <v>1.8898550724637679</v>
      </c>
      <c r="J148" s="5">
        <v>1.3093645484949832</v>
      </c>
      <c r="K148" s="5"/>
      <c r="L148" s="5"/>
      <c r="M148" s="5"/>
      <c r="N148" s="5"/>
      <c r="O148" s="5"/>
      <c r="P148" s="5"/>
      <c r="Q148" s="5"/>
      <c r="R148" s="20">
        <f t="shared" si="2"/>
        <v>10.916833890746933</v>
      </c>
      <c r="S148" s="6"/>
    </row>
    <row r="149" spans="1:19" s="2" customFormat="1" ht="15">
      <c r="A149" s="10" t="s">
        <v>206</v>
      </c>
      <c r="B149" s="9" t="s">
        <v>296</v>
      </c>
      <c r="C149" s="10" t="s">
        <v>297</v>
      </c>
      <c r="D149" s="4">
        <v>6.95</v>
      </c>
      <c r="E149" s="29">
        <v>2014</v>
      </c>
      <c r="F149" s="5">
        <v>2.4483453237410071</v>
      </c>
      <c r="G149" s="5">
        <v>2.2523741007194245</v>
      </c>
      <c r="H149" s="5">
        <v>2.9907913669064747</v>
      </c>
      <c r="I149" s="5">
        <v>1.762158273381295</v>
      </c>
      <c r="J149" s="5">
        <v>2.2923741007194245</v>
      </c>
      <c r="K149" s="5"/>
      <c r="L149" s="5"/>
      <c r="M149" s="5"/>
      <c r="N149" s="5"/>
      <c r="O149" s="5"/>
      <c r="P149" s="5"/>
      <c r="Q149" s="5"/>
      <c r="R149" s="20">
        <f t="shared" si="2"/>
        <v>11.746043165467626</v>
      </c>
      <c r="S149" s="6"/>
    </row>
    <row r="150" spans="1:19" s="2" customFormat="1" ht="15">
      <c r="A150" s="10" t="s">
        <v>206</v>
      </c>
      <c r="B150" s="9" t="s">
        <v>298</v>
      </c>
      <c r="C150" s="10" t="s">
        <v>299</v>
      </c>
      <c r="D150" s="4">
        <v>4.2</v>
      </c>
      <c r="E150" s="29">
        <v>2021</v>
      </c>
      <c r="F150" s="5">
        <v>2.0657142857142858</v>
      </c>
      <c r="G150" s="5">
        <v>3.7011904761904764</v>
      </c>
      <c r="H150" s="5">
        <v>1.826904761904762</v>
      </c>
      <c r="I150" s="5">
        <v>2.1626190476190477</v>
      </c>
      <c r="J150" s="5">
        <v>2.1792857142857143</v>
      </c>
      <c r="K150" s="5"/>
      <c r="L150" s="5"/>
      <c r="M150" s="5"/>
      <c r="N150" s="5"/>
      <c r="O150" s="5"/>
      <c r="P150" s="5"/>
      <c r="Q150" s="5"/>
      <c r="R150" s="20">
        <f t="shared" si="2"/>
        <v>11.935714285714287</v>
      </c>
      <c r="S150" s="6"/>
    </row>
    <row r="151" spans="1:19" s="2" customFormat="1" ht="20.100000000000001" customHeight="1">
      <c r="A151" s="10" t="s">
        <v>300</v>
      </c>
      <c r="B151" s="9" t="s">
        <v>301</v>
      </c>
      <c r="C151" s="10" t="s">
        <v>302</v>
      </c>
      <c r="D151" s="4">
        <v>20.02</v>
      </c>
      <c r="E151" s="29">
        <v>2011</v>
      </c>
      <c r="F151" s="5">
        <v>2.7501498501498505</v>
      </c>
      <c r="G151" s="5">
        <v>3.174875124875125</v>
      </c>
      <c r="H151" s="5">
        <v>2.3157842157842161</v>
      </c>
      <c r="I151" s="5">
        <v>3.0403096903096904</v>
      </c>
      <c r="J151" s="5">
        <v>2.2244755244755248</v>
      </c>
      <c r="K151" s="5"/>
      <c r="L151" s="5"/>
      <c r="M151" s="5"/>
      <c r="N151" s="5"/>
      <c r="O151" s="5"/>
      <c r="P151" s="5"/>
      <c r="Q151" s="5"/>
      <c r="R151" s="20">
        <f t="shared" si="2"/>
        <v>13.505594405594406</v>
      </c>
      <c r="S151" s="6"/>
    </row>
    <row r="152" spans="1:19" s="2" customFormat="1" ht="20.100000000000001" customHeight="1">
      <c r="A152" s="10" t="s">
        <v>300</v>
      </c>
      <c r="B152" s="9" t="s">
        <v>303</v>
      </c>
      <c r="C152" s="10" t="s">
        <v>304</v>
      </c>
      <c r="D152" s="4">
        <v>16.62</v>
      </c>
      <c r="E152" s="29">
        <v>2011</v>
      </c>
      <c r="F152" s="5">
        <v>2.8074608904933811</v>
      </c>
      <c r="G152" s="5">
        <v>2.9821901323706372</v>
      </c>
      <c r="H152" s="5">
        <v>3.5938628158844761</v>
      </c>
      <c r="I152" s="5">
        <v>3.2105896510228642</v>
      </c>
      <c r="J152" s="5">
        <v>1.9225030084235859</v>
      </c>
      <c r="K152" s="5"/>
      <c r="L152" s="5"/>
      <c r="M152" s="5"/>
      <c r="N152" s="5"/>
      <c r="O152" s="5"/>
      <c r="P152" s="5"/>
      <c r="Q152" s="5"/>
      <c r="R152" s="20">
        <f t="shared" si="2"/>
        <v>14.516606498194946</v>
      </c>
      <c r="S152" s="6"/>
    </row>
    <row r="153" spans="1:19" s="2" customFormat="1" ht="20.100000000000001" customHeight="1">
      <c r="A153" s="10" t="s">
        <v>300</v>
      </c>
      <c r="B153" s="9" t="s">
        <v>305</v>
      </c>
      <c r="C153" s="10" t="s">
        <v>306</v>
      </c>
      <c r="D153" s="4">
        <v>15.76</v>
      </c>
      <c r="E153" s="29">
        <v>2011</v>
      </c>
      <c r="F153" s="5">
        <v>2.1847715736040607</v>
      </c>
      <c r="G153" s="5">
        <v>2.4654822335025384</v>
      </c>
      <c r="H153" s="5">
        <v>2.9754441624365482</v>
      </c>
      <c r="I153" s="5">
        <v>2.8425761421319797</v>
      </c>
      <c r="J153" s="5">
        <v>2.0856598984771573</v>
      </c>
      <c r="K153" s="5"/>
      <c r="L153" s="5"/>
      <c r="M153" s="5"/>
      <c r="N153" s="5"/>
      <c r="O153" s="5"/>
      <c r="P153" s="5"/>
      <c r="Q153" s="5"/>
      <c r="R153" s="20">
        <f t="shared" si="2"/>
        <v>12.553934010152284</v>
      </c>
      <c r="S153" s="6"/>
    </row>
    <row r="154" spans="1:19" s="2" customFormat="1" ht="20.100000000000001" customHeight="1">
      <c r="A154" s="10" t="s">
        <v>300</v>
      </c>
      <c r="B154" s="9" t="s">
        <v>307</v>
      </c>
      <c r="C154" s="10" t="s">
        <v>308</v>
      </c>
      <c r="D154" s="4">
        <v>17.260000000000002</v>
      </c>
      <c r="E154" s="29">
        <v>2011</v>
      </c>
      <c r="F154" s="5">
        <v>2.7710312862108921</v>
      </c>
      <c r="G154" s="5">
        <v>2.4533024333719582</v>
      </c>
      <c r="H154" s="5">
        <v>3.6052723059096174</v>
      </c>
      <c r="I154" s="5">
        <v>2.7365005793742756</v>
      </c>
      <c r="J154" s="5">
        <v>3.5106025492468129</v>
      </c>
      <c r="K154" s="5"/>
      <c r="L154" s="5"/>
      <c r="M154" s="5"/>
      <c r="N154" s="5"/>
      <c r="O154" s="5"/>
      <c r="P154" s="5"/>
      <c r="Q154" s="5"/>
      <c r="R154" s="20">
        <f t="shared" si="2"/>
        <v>15.076709154113555</v>
      </c>
      <c r="S154" s="6"/>
    </row>
    <row r="155" spans="1:19" s="2" customFormat="1" ht="20.100000000000001" customHeight="1">
      <c r="A155" s="10" t="s">
        <v>300</v>
      </c>
      <c r="B155" s="9" t="s">
        <v>309</v>
      </c>
      <c r="C155" s="10" t="s">
        <v>310</v>
      </c>
      <c r="D155" s="4">
        <v>16.73</v>
      </c>
      <c r="E155" s="29">
        <v>2011</v>
      </c>
      <c r="F155" s="5">
        <v>2.9701733413030484</v>
      </c>
      <c r="G155" s="5">
        <v>2.4462641960549907</v>
      </c>
      <c r="H155" s="5">
        <v>3.7005977286312013</v>
      </c>
      <c r="I155" s="5">
        <v>2.8066945606694556</v>
      </c>
      <c r="J155" s="5">
        <v>2.8427375971309026</v>
      </c>
      <c r="K155" s="5"/>
      <c r="L155" s="5"/>
      <c r="M155" s="5"/>
      <c r="N155" s="5"/>
      <c r="O155" s="5"/>
      <c r="P155" s="5"/>
      <c r="Q155" s="5"/>
      <c r="R155" s="20">
        <f t="shared" si="2"/>
        <v>14.766467423789599</v>
      </c>
      <c r="S155" s="6"/>
    </row>
    <row r="156" spans="1:19" s="2" customFormat="1" ht="20.100000000000001" customHeight="1">
      <c r="A156" s="10" t="s">
        <v>300</v>
      </c>
      <c r="B156" s="9" t="s">
        <v>311</v>
      </c>
      <c r="C156" s="10" t="s">
        <v>312</v>
      </c>
      <c r="D156" s="4">
        <v>28.13</v>
      </c>
      <c r="E156" s="29">
        <v>2011</v>
      </c>
      <c r="F156" s="5">
        <v>2.2553501599715604</v>
      </c>
      <c r="G156" s="5">
        <v>3.2918947742623534</v>
      </c>
      <c r="H156" s="5">
        <v>3.4274440099537862</v>
      </c>
      <c r="I156" s="5">
        <v>2.1055456807678632</v>
      </c>
      <c r="J156" s="5">
        <v>3.136935655883399</v>
      </c>
      <c r="K156" s="5"/>
      <c r="L156" s="5"/>
      <c r="M156" s="5"/>
      <c r="N156" s="5"/>
      <c r="O156" s="5"/>
      <c r="P156" s="5"/>
      <c r="Q156" s="5"/>
      <c r="R156" s="20">
        <f t="shared" si="2"/>
        <v>14.217170280838962</v>
      </c>
      <c r="S156" s="6"/>
    </row>
    <row r="157" spans="1:19" s="2" customFormat="1" ht="20.100000000000001" customHeight="1">
      <c r="A157" s="10" t="s">
        <v>300</v>
      </c>
      <c r="B157" s="9" t="s">
        <v>313</v>
      </c>
      <c r="C157" s="10" t="s">
        <v>314</v>
      </c>
      <c r="D157" s="4">
        <v>16.25</v>
      </c>
      <c r="E157" s="29">
        <v>2011</v>
      </c>
      <c r="F157" s="5">
        <v>1.5312000000000001</v>
      </c>
      <c r="G157" s="5">
        <v>2.3294153846153844</v>
      </c>
      <c r="H157" s="5">
        <v>2.4424615384615387</v>
      </c>
      <c r="I157" s="5">
        <v>2.0274461538461539</v>
      </c>
      <c r="J157" s="5">
        <v>2.6968615384615386</v>
      </c>
      <c r="K157" s="5"/>
      <c r="L157" s="5"/>
      <c r="M157" s="5"/>
      <c r="N157" s="5"/>
      <c r="O157" s="5"/>
      <c r="P157" s="5"/>
      <c r="Q157" s="5"/>
      <c r="R157" s="20">
        <f t="shared" si="2"/>
        <v>11.027384615384616</v>
      </c>
      <c r="S157" s="6"/>
    </row>
    <row r="158" spans="1:19" s="2" customFormat="1" ht="20.100000000000001" customHeight="1">
      <c r="A158" s="10" t="s">
        <v>300</v>
      </c>
      <c r="B158" s="9" t="s">
        <v>315</v>
      </c>
      <c r="C158" s="10" t="s">
        <v>316</v>
      </c>
      <c r="D158" s="4">
        <v>24.52</v>
      </c>
      <c r="E158" s="29">
        <v>2011</v>
      </c>
      <c r="F158" s="5">
        <v>1.8659461663947798</v>
      </c>
      <c r="G158" s="5">
        <v>2.6138662316476347</v>
      </c>
      <c r="H158" s="5">
        <v>3.044453507340946</v>
      </c>
      <c r="I158" s="5">
        <v>2.0488988580750407</v>
      </c>
      <c r="J158" s="5">
        <v>2.7420880913539967</v>
      </c>
      <c r="K158" s="5"/>
      <c r="L158" s="5"/>
      <c r="M158" s="5"/>
      <c r="N158" s="5"/>
      <c r="O158" s="5"/>
      <c r="P158" s="5"/>
      <c r="Q158" s="5"/>
      <c r="R158" s="20">
        <f t="shared" si="2"/>
        <v>12.315252854812398</v>
      </c>
      <c r="S158" s="6"/>
    </row>
    <row r="159" spans="1:19" s="2" customFormat="1" ht="20.100000000000001" customHeight="1">
      <c r="A159" s="10" t="s">
        <v>300</v>
      </c>
      <c r="B159" s="9" t="s">
        <v>317</v>
      </c>
      <c r="C159" s="10" t="s">
        <v>318</v>
      </c>
      <c r="D159" s="4">
        <v>32.75</v>
      </c>
      <c r="E159" s="29">
        <v>2011</v>
      </c>
      <c r="F159" s="5">
        <v>2.1172824427480914</v>
      </c>
      <c r="G159" s="5">
        <v>2.5484885496183205</v>
      </c>
      <c r="H159" s="5">
        <v>2.8656793893129771</v>
      </c>
      <c r="I159" s="5">
        <v>1.9718473282442748</v>
      </c>
      <c r="J159" s="5">
        <v>2.4976793893129772</v>
      </c>
      <c r="K159" s="5"/>
      <c r="L159" s="5"/>
      <c r="M159" s="5"/>
      <c r="N159" s="5"/>
      <c r="O159" s="5"/>
      <c r="P159" s="5"/>
      <c r="Q159" s="5"/>
      <c r="R159" s="20">
        <f t="shared" si="2"/>
        <v>12.000977099236639</v>
      </c>
      <c r="S159" s="6"/>
    </row>
    <row r="160" spans="1:19" s="2" customFormat="1" ht="20.100000000000001" customHeight="1">
      <c r="A160" s="10" t="s">
        <v>300</v>
      </c>
      <c r="B160" s="9" t="s">
        <v>319</v>
      </c>
      <c r="C160" s="10" t="s">
        <v>320</v>
      </c>
      <c r="D160" s="4">
        <v>2.27</v>
      </c>
      <c r="E160" s="29">
        <v>2011</v>
      </c>
      <c r="F160" s="5">
        <v>2.1105726872246695</v>
      </c>
      <c r="G160" s="5">
        <v>2.1105726872246695</v>
      </c>
      <c r="H160" s="5">
        <v>2.3365638766519825</v>
      </c>
      <c r="I160" s="5">
        <v>2.3801762114537448</v>
      </c>
      <c r="J160" s="5">
        <v>2.0083700440528633</v>
      </c>
      <c r="K160" s="5"/>
      <c r="L160" s="5"/>
      <c r="M160" s="5"/>
      <c r="N160" s="5"/>
      <c r="O160" s="5"/>
      <c r="P160" s="5"/>
      <c r="Q160" s="5"/>
      <c r="R160" s="20">
        <f t="shared" si="2"/>
        <v>10.94625550660793</v>
      </c>
      <c r="S160" s="6"/>
    </row>
    <row r="161" spans="1:19" s="2" customFormat="1" ht="20.100000000000001" customHeight="1">
      <c r="A161" s="10" t="s">
        <v>300</v>
      </c>
      <c r="B161" s="9" t="s">
        <v>321</v>
      </c>
      <c r="C161" s="10" t="s">
        <v>322</v>
      </c>
      <c r="D161" s="4">
        <v>9.66</v>
      </c>
      <c r="E161" s="29">
        <v>2011</v>
      </c>
      <c r="F161" s="5">
        <v>2.70351966873706</v>
      </c>
      <c r="G161" s="5">
        <v>2.8562111801242236</v>
      </c>
      <c r="H161" s="5">
        <v>3.484679089026915</v>
      </c>
      <c r="I161" s="5">
        <v>3.0326086956521738</v>
      </c>
      <c r="J161" s="5">
        <v>2.0690476190476188</v>
      </c>
      <c r="K161" s="5"/>
      <c r="L161" s="5"/>
      <c r="M161" s="5"/>
      <c r="N161" s="5"/>
      <c r="O161" s="5"/>
      <c r="P161" s="5"/>
      <c r="Q161" s="5"/>
      <c r="R161" s="20">
        <f t="shared" si="2"/>
        <v>14.146066252587993</v>
      </c>
      <c r="S161" s="6"/>
    </row>
    <row r="162" spans="1:19" s="2" customFormat="1" ht="20.100000000000001" customHeight="1">
      <c r="A162" s="10" t="s">
        <v>300</v>
      </c>
      <c r="B162" s="9" t="s">
        <v>323</v>
      </c>
      <c r="C162" s="10" t="s">
        <v>324</v>
      </c>
      <c r="D162" s="4">
        <v>20.71</v>
      </c>
      <c r="E162" s="29">
        <v>2012</v>
      </c>
      <c r="F162" s="5">
        <v>2.2980685659101883</v>
      </c>
      <c r="G162" s="5">
        <v>2.0968614196040556</v>
      </c>
      <c r="H162" s="5">
        <v>2.7460647030420087</v>
      </c>
      <c r="I162" s="5">
        <v>2.4828585224529212</v>
      </c>
      <c r="J162" s="5">
        <v>1.5443264123611782</v>
      </c>
      <c r="K162" s="5"/>
      <c r="L162" s="5"/>
      <c r="M162" s="5"/>
      <c r="N162" s="5"/>
      <c r="O162" s="5"/>
      <c r="P162" s="5"/>
      <c r="Q162" s="5"/>
      <c r="R162" s="20">
        <f t="shared" si="2"/>
        <v>11.168179623370351</v>
      </c>
      <c r="S162" s="6"/>
    </row>
    <row r="163" spans="1:19" s="2" customFormat="1" ht="20.100000000000001" customHeight="1">
      <c r="A163" s="10" t="s">
        <v>300</v>
      </c>
      <c r="B163" s="9" t="s">
        <v>325</v>
      </c>
      <c r="C163" s="10" t="s">
        <v>326</v>
      </c>
      <c r="D163" s="4">
        <v>29.26</v>
      </c>
      <c r="E163" s="29">
        <v>2014</v>
      </c>
      <c r="F163" s="5">
        <v>2.5114832535885165</v>
      </c>
      <c r="G163" s="5">
        <v>1.9216336295283662</v>
      </c>
      <c r="H163" s="5">
        <v>2.4349282296650716</v>
      </c>
      <c r="I163" s="5">
        <v>2.0685577580314423</v>
      </c>
      <c r="J163" s="5">
        <v>1.5342788790157211</v>
      </c>
      <c r="K163" s="5"/>
      <c r="L163" s="5"/>
      <c r="M163" s="5"/>
      <c r="N163" s="5"/>
      <c r="O163" s="5"/>
      <c r="P163" s="5"/>
      <c r="Q163" s="5"/>
      <c r="R163" s="20">
        <f t="shared" si="2"/>
        <v>10.470881749829118</v>
      </c>
      <c r="S163" s="6"/>
    </row>
    <row r="164" spans="1:19" s="2" customFormat="1" ht="20.100000000000001" customHeight="1">
      <c r="A164" s="10" t="s">
        <v>300</v>
      </c>
      <c r="B164" s="9" t="s">
        <v>327</v>
      </c>
      <c r="C164" s="10" t="s">
        <v>328</v>
      </c>
      <c r="D164" s="4">
        <v>29.08</v>
      </c>
      <c r="E164" s="29">
        <v>2014</v>
      </c>
      <c r="F164" s="5">
        <v>1.8657496561210456</v>
      </c>
      <c r="G164" s="5">
        <v>1.4828748280605228</v>
      </c>
      <c r="H164" s="5">
        <v>1.8918844566712518</v>
      </c>
      <c r="I164" s="5">
        <v>1.8029573590096288</v>
      </c>
      <c r="J164" s="5">
        <v>1.3541953232462174</v>
      </c>
      <c r="K164" s="5"/>
      <c r="L164" s="5"/>
      <c r="M164" s="5"/>
      <c r="N164" s="5"/>
      <c r="O164" s="5"/>
      <c r="P164" s="5"/>
      <c r="Q164" s="5"/>
      <c r="R164" s="20">
        <f t="shared" si="2"/>
        <v>8.397661623108668</v>
      </c>
      <c r="S164" s="6"/>
    </row>
    <row r="165" spans="1:19" s="2" customFormat="1" ht="20.100000000000001" customHeight="1">
      <c r="A165" s="10" t="s">
        <v>300</v>
      </c>
      <c r="B165" s="9" t="s">
        <v>329</v>
      </c>
      <c r="C165" s="10" t="s">
        <v>330</v>
      </c>
      <c r="D165" s="4">
        <v>27.31</v>
      </c>
      <c r="E165" s="29">
        <v>2014</v>
      </c>
      <c r="F165" s="5">
        <v>2.1924935920908091</v>
      </c>
      <c r="G165" s="5">
        <v>1.75181252288539</v>
      </c>
      <c r="H165" s="5">
        <v>2.2486634932259251</v>
      </c>
      <c r="I165" s="5">
        <v>1.9819113877700476</v>
      </c>
      <c r="J165" s="5">
        <v>1.3680703039179789</v>
      </c>
      <c r="K165" s="5"/>
      <c r="L165" s="5"/>
      <c r="M165" s="5"/>
      <c r="N165" s="5"/>
      <c r="O165" s="5"/>
      <c r="P165" s="5"/>
      <c r="Q165" s="5"/>
      <c r="R165" s="20">
        <f t="shared" si="2"/>
        <v>9.5429512998901505</v>
      </c>
      <c r="S165" s="6"/>
    </row>
    <row r="166" spans="1:19" s="2" customFormat="1" ht="20.100000000000001" customHeight="1">
      <c r="A166" s="4" t="s">
        <v>300</v>
      </c>
      <c r="B166" s="3" t="s">
        <v>331</v>
      </c>
      <c r="C166" s="4" t="s">
        <v>332</v>
      </c>
      <c r="D166" s="4">
        <v>29.78</v>
      </c>
      <c r="E166" s="28">
        <v>2014</v>
      </c>
      <c r="F166" s="5">
        <v>2.3206850235057086</v>
      </c>
      <c r="G166" s="5">
        <v>1.9115513767629282</v>
      </c>
      <c r="H166" s="5">
        <v>2.394257891202149</v>
      </c>
      <c r="I166" s="5">
        <v>2.2618871725990597</v>
      </c>
      <c r="J166" s="5">
        <v>1.4442578912021491</v>
      </c>
      <c r="K166" s="5"/>
      <c r="L166" s="5"/>
      <c r="M166" s="5"/>
      <c r="N166" s="5"/>
      <c r="O166" s="5"/>
      <c r="P166" s="5"/>
      <c r="Q166" s="5"/>
      <c r="R166" s="20">
        <f t="shared" si="2"/>
        <v>10.332639355271994</v>
      </c>
      <c r="S166" s="6"/>
    </row>
    <row r="167" spans="1:19" s="2" customFormat="1" ht="20.100000000000001" customHeight="1">
      <c r="A167" s="4" t="s">
        <v>300</v>
      </c>
      <c r="B167" s="3" t="s">
        <v>333</v>
      </c>
      <c r="C167" s="4" t="s">
        <v>334</v>
      </c>
      <c r="D167" s="4">
        <v>15.43</v>
      </c>
      <c r="E167" s="28">
        <v>2014</v>
      </c>
      <c r="F167" s="5">
        <v>1.6379779650032407</v>
      </c>
      <c r="G167" s="5">
        <v>1.4411535968891769</v>
      </c>
      <c r="H167" s="5">
        <v>1.8184705119896307</v>
      </c>
      <c r="I167" s="5">
        <v>1.5653272845106936</v>
      </c>
      <c r="J167" s="5">
        <v>0.90174983797796504</v>
      </c>
      <c r="K167" s="5"/>
      <c r="L167" s="5"/>
      <c r="M167" s="5"/>
      <c r="N167" s="5"/>
      <c r="O167" s="5"/>
      <c r="P167" s="5"/>
      <c r="Q167" s="5"/>
      <c r="R167" s="20">
        <f t="shared" si="2"/>
        <v>7.364679196370707</v>
      </c>
      <c r="S167" s="6"/>
    </row>
    <row r="168" spans="1:19" s="2" customFormat="1" ht="20.100000000000001" customHeight="1">
      <c r="A168" s="4" t="s">
        <v>300</v>
      </c>
      <c r="B168" s="3" t="s">
        <v>335</v>
      </c>
      <c r="C168" s="4" t="s">
        <v>336</v>
      </c>
      <c r="D168" s="4">
        <v>13.9</v>
      </c>
      <c r="E168" s="28">
        <v>2011</v>
      </c>
      <c r="F168" s="5">
        <v>2.9941007194244604</v>
      </c>
      <c r="G168" s="5">
        <v>2.5953956834532375</v>
      </c>
      <c r="H168" s="5">
        <v>3.7536690647482014</v>
      </c>
      <c r="I168" s="5">
        <v>3.0940287769784174</v>
      </c>
      <c r="J168" s="5">
        <v>2.0096402877697841</v>
      </c>
      <c r="K168" s="5"/>
      <c r="L168" s="5"/>
      <c r="M168" s="5"/>
      <c r="N168" s="5"/>
      <c r="O168" s="5"/>
      <c r="P168" s="5"/>
      <c r="Q168" s="5"/>
      <c r="R168" s="20">
        <f t="shared" si="2"/>
        <v>14.446834532374101</v>
      </c>
      <c r="S168" s="6"/>
    </row>
    <row r="169" spans="1:19" s="2" customFormat="1" ht="20.100000000000001" customHeight="1">
      <c r="A169" s="4" t="s">
        <v>300</v>
      </c>
      <c r="B169" s="3" t="s">
        <v>337</v>
      </c>
      <c r="C169" s="4" t="s">
        <v>338</v>
      </c>
      <c r="D169" s="4">
        <v>5.93</v>
      </c>
      <c r="E169" s="28">
        <v>2013</v>
      </c>
      <c r="F169" s="5">
        <v>2.4170320404721757</v>
      </c>
      <c r="G169" s="5">
        <v>1.8524451939291737</v>
      </c>
      <c r="H169" s="5">
        <v>2.3738617200674539</v>
      </c>
      <c r="I169" s="5">
        <v>1.7091062394603711</v>
      </c>
      <c r="J169" s="5">
        <v>1.0571669477234402</v>
      </c>
      <c r="K169" s="5"/>
      <c r="L169" s="5"/>
      <c r="M169" s="5"/>
      <c r="N169" s="5"/>
      <c r="O169" s="5"/>
      <c r="P169" s="5"/>
      <c r="Q169" s="5"/>
      <c r="R169" s="20">
        <f t="shared" si="2"/>
        <v>9.4096121416526142</v>
      </c>
      <c r="S169" s="6"/>
    </row>
    <row r="170" spans="1:19" s="2" customFormat="1" ht="20.100000000000001" customHeight="1">
      <c r="A170" s="4" t="s">
        <v>300</v>
      </c>
      <c r="B170" s="3" t="s">
        <v>339</v>
      </c>
      <c r="C170" s="4" t="s">
        <v>340</v>
      </c>
      <c r="D170" s="4">
        <v>28.48</v>
      </c>
      <c r="E170" s="28">
        <v>2011</v>
      </c>
      <c r="F170" s="5">
        <v>2.7197682584269662</v>
      </c>
      <c r="G170" s="5">
        <v>3.2571629213483146</v>
      </c>
      <c r="H170" s="5">
        <v>3.0233848314606737</v>
      </c>
      <c r="I170" s="5">
        <v>1.987183988764045</v>
      </c>
      <c r="J170" s="5">
        <v>2.6481741573033704</v>
      </c>
      <c r="K170" s="5"/>
      <c r="L170" s="5"/>
      <c r="M170" s="5"/>
      <c r="N170" s="5"/>
      <c r="O170" s="5"/>
      <c r="P170" s="5"/>
      <c r="Q170" s="5"/>
      <c r="R170" s="20">
        <f t="shared" si="2"/>
        <v>13.63567415730337</v>
      </c>
      <c r="S170" s="6"/>
    </row>
    <row r="171" spans="1:19" s="2" customFormat="1" ht="20.100000000000001" customHeight="1">
      <c r="A171" s="4" t="s">
        <v>300</v>
      </c>
      <c r="B171" s="3" t="s">
        <v>341</v>
      </c>
      <c r="C171" s="4" t="s">
        <v>342</v>
      </c>
      <c r="D171" s="4">
        <v>26.61</v>
      </c>
      <c r="E171" s="28">
        <v>2011</v>
      </c>
      <c r="F171" s="5">
        <v>2.1772641863960915</v>
      </c>
      <c r="G171" s="5">
        <v>2.7328072153325822</v>
      </c>
      <c r="H171" s="5">
        <v>2.6095828635851186</v>
      </c>
      <c r="I171" s="5">
        <v>1.4888387824126268</v>
      </c>
      <c r="J171" s="5">
        <v>1.8282976324689966</v>
      </c>
      <c r="K171" s="5"/>
      <c r="L171" s="5"/>
      <c r="M171" s="5"/>
      <c r="N171" s="5"/>
      <c r="O171" s="5"/>
      <c r="P171" s="5"/>
      <c r="Q171" s="5"/>
      <c r="R171" s="20">
        <f t="shared" si="2"/>
        <v>10.836790680195417</v>
      </c>
      <c r="S171" s="6"/>
    </row>
    <row r="172" spans="1:19" s="2" customFormat="1" ht="20.100000000000001" customHeight="1">
      <c r="A172" s="4" t="s">
        <v>300</v>
      </c>
      <c r="B172" s="3" t="s">
        <v>343</v>
      </c>
      <c r="C172" s="4" t="s">
        <v>344</v>
      </c>
      <c r="D172" s="4">
        <v>33.06</v>
      </c>
      <c r="E172" s="28">
        <v>2013</v>
      </c>
      <c r="F172" s="5">
        <v>3.2544767090139137</v>
      </c>
      <c r="G172" s="5">
        <v>3.5962794918330308</v>
      </c>
      <c r="H172" s="5">
        <v>3.2892014519056261</v>
      </c>
      <c r="I172" s="5">
        <v>2.1516938898971567</v>
      </c>
      <c r="J172" s="5">
        <v>2.550604960677556</v>
      </c>
      <c r="K172" s="5"/>
      <c r="L172" s="5"/>
      <c r="M172" s="5"/>
      <c r="N172" s="5"/>
      <c r="O172" s="5"/>
      <c r="P172" s="5"/>
      <c r="Q172" s="5"/>
      <c r="R172" s="20">
        <f t="shared" si="2"/>
        <v>14.842256503327285</v>
      </c>
      <c r="S172" s="6"/>
    </row>
    <row r="173" spans="1:19" s="2" customFormat="1" ht="20.100000000000001" customHeight="1">
      <c r="A173" s="4" t="s">
        <v>300</v>
      </c>
      <c r="B173" s="3" t="s">
        <v>345</v>
      </c>
      <c r="C173" s="4" t="s">
        <v>346</v>
      </c>
      <c r="D173" s="4">
        <v>18.16</v>
      </c>
      <c r="E173" s="28">
        <v>2011</v>
      </c>
      <c r="F173" s="5">
        <v>2.0458700440528634</v>
      </c>
      <c r="G173" s="5">
        <v>2.9248898678414097</v>
      </c>
      <c r="H173" s="5">
        <v>2.371751101321586</v>
      </c>
      <c r="I173" s="5">
        <v>1.8646475770925111</v>
      </c>
      <c r="J173" s="5">
        <v>2.4854074889867843</v>
      </c>
      <c r="K173" s="5"/>
      <c r="L173" s="5"/>
      <c r="M173" s="5"/>
      <c r="N173" s="5"/>
      <c r="O173" s="5"/>
      <c r="P173" s="5"/>
      <c r="Q173" s="5"/>
      <c r="R173" s="20">
        <f t="shared" si="2"/>
        <v>11.692566079295153</v>
      </c>
      <c r="S173" s="6"/>
    </row>
    <row r="174" spans="1:19" s="2" customFormat="1" ht="20.100000000000001" customHeight="1">
      <c r="A174" s="4" t="s">
        <v>300</v>
      </c>
      <c r="B174" s="3" t="s">
        <v>347</v>
      </c>
      <c r="C174" s="4" t="s">
        <v>348</v>
      </c>
      <c r="D174" s="4">
        <v>16.239999999999998</v>
      </c>
      <c r="E174" s="28">
        <v>2011</v>
      </c>
      <c r="F174" s="5">
        <v>2.1676108374384238</v>
      </c>
      <c r="G174" s="5">
        <v>2.9105911330049263</v>
      </c>
      <c r="H174" s="5">
        <v>2.7425492610837443</v>
      </c>
      <c r="I174" s="5">
        <v>1.7292487684729065</v>
      </c>
      <c r="J174" s="5">
        <v>2.2296182266009854</v>
      </c>
      <c r="K174" s="5"/>
      <c r="L174" s="5"/>
      <c r="M174" s="5"/>
      <c r="N174" s="5"/>
      <c r="O174" s="5"/>
      <c r="P174" s="5"/>
      <c r="Q174" s="5"/>
      <c r="R174" s="20">
        <f t="shared" si="2"/>
        <v>11.779618226600986</v>
      </c>
      <c r="S174" s="6"/>
    </row>
    <row r="175" spans="1:19" s="2" customFormat="1" ht="20.100000000000001" customHeight="1">
      <c r="A175" s="4" t="s">
        <v>300</v>
      </c>
      <c r="B175" s="3" t="s">
        <v>349</v>
      </c>
      <c r="C175" s="4" t="s">
        <v>350</v>
      </c>
      <c r="D175" s="4">
        <v>5.28</v>
      </c>
      <c r="E175" s="28">
        <v>2013</v>
      </c>
      <c r="F175" s="5">
        <v>2.5373106060606059</v>
      </c>
      <c r="G175" s="5">
        <v>3.586363636363636</v>
      </c>
      <c r="H175" s="5">
        <v>3.521969696969697</v>
      </c>
      <c r="I175" s="5">
        <v>2.2011363636363637</v>
      </c>
      <c r="J175" s="5">
        <v>3.3185606060606059</v>
      </c>
      <c r="K175" s="5"/>
      <c r="L175" s="5"/>
      <c r="M175" s="5"/>
      <c r="N175" s="5"/>
      <c r="O175" s="5"/>
      <c r="P175" s="5"/>
      <c r="Q175" s="5"/>
      <c r="R175" s="20">
        <f t="shared" si="2"/>
        <v>15.165340909090908</v>
      </c>
      <c r="S175" s="6"/>
    </row>
    <row r="176" spans="1:19" s="2" customFormat="1" ht="20.100000000000001" customHeight="1">
      <c r="A176" s="4" t="s">
        <v>300</v>
      </c>
      <c r="B176" s="3" t="s">
        <v>351</v>
      </c>
      <c r="C176" s="4" t="s">
        <v>352</v>
      </c>
      <c r="D176" s="4">
        <v>13.9</v>
      </c>
      <c r="E176" s="28">
        <v>2011</v>
      </c>
      <c r="F176" s="5">
        <v>2.7558992805755396</v>
      </c>
      <c r="G176" s="5">
        <v>2.3412230215827341</v>
      </c>
      <c r="H176" s="5">
        <v>3.3104316546762589</v>
      </c>
      <c r="I176" s="5">
        <v>2.9661870503597121</v>
      </c>
      <c r="J176" s="5">
        <v>2.2963309352517984</v>
      </c>
      <c r="K176" s="5"/>
      <c r="L176" s="5"/>
      <c r="M176" s="5"/>
      <c r="N176" s="5"/>
      <c r="O176" s="5"/>
      <c r="P176" s="5"/>
      <c r="Q176" s="5"/>
      <c r="R176" s="20">
        <f t="shared" si="2"/>
        <v>13.670071942446045</v>
      </c>
      <c r="S176" s="6"/>
    </row>
    <row r="177" spans="1:19" s="2" customFormat="1" ht="20.100000000000001" customHeight="1">
      <c r="A177" s="4" t="s">
        <v>300</v>
      </c>
      <c r="B177" s="3" t="s">
        <v>353</v>
      </c>
      <c r="C177" s="4" t="s">
        <v>354</v>
      </c>
      <c r="D177" s="4">
        <v>9.17</v>
      </c>
      <c r="E177" s="29">
        <v>2011</v>
      </c>
      <c r="F177" s="5">
        <v>3.2069792802617232</v>
      </c>
      <c r="G177" s="5">
        <v>2.66793893129771</v>
      </c>
      <c r="H177" s="5">
        <v>4.3066521264994542</v>
      </c>
      <c r="I177" s="5">
        <v>1.9572519083969466</v>
      </c>
      <c r="J177" s="5">
        <v>2.34525627044711</v>
      </c>
      <c r="K177" s="5"/>
      <c r="L177" s="5"/>
      <c r="M177" s="5"/>
      <c r="N177" s="5"/>
      <c r="O177" s="5"/>
      <c r="P177" s="5"/>
      <c r="Q177" s="5"/>
      <c r="R177" s="20">
        <f t="shared" si="2"/>
        <v>14.484078516902944</v>
      </c>
      <c r="S177" s="6"/>
    </row>
    <row r="178" spans="1:19" s="2" customFormat="1" ht="20.100000000000001" customHeight="1">
      <c r="A178" s="4" t="s">
        <v>300</v>
      </c>
      <c r="B178" s="3" t="s">
        <v>355</v>
      </c>
      <c r="C178" s="4" t="s">
        <v>356</v>
      </c>
      <c r="D178" s="4">
        <v>21.74</v>
      </c>
      <c r="E178" s="28">
        <v>2013</v>
      </c>
      <c r="F178" s="5">
        <v>2.4631094756209753</v>
      </c>
      <c r="G178" s="5">
        <v>3.1982520699172037</v>
      </c>
      <c r="H178" s="5">
        <v>2.698068077276909</v>
      </c>
      <c r="I178" s="5">
        <v>2.3481140754369827</v>
      </c>
      <c r="J178" s="5">
        <v>2.5823827046918129</v>
      </c>
      <c r="K178" s="5"/>
      <c r="L178" s="5"/>
      <c r="M178" s="5"/>
      <c r="N178" s="5"/>
      <c r="O178" s="5"/>
      <c r="P178" s="5"/>
      <c r="Q178" s="5"/>
      <c r="R178" s="20">
        <f t="shared" si="2"/>
        <v>13.289926402943884</v>
      </c>
      <c r="S178" s="6"/>
    </row>
    <row r="179" spans="1:19" s="2" customFormat="1" ht="20.100000000000001" customHeight="1">
      <c r="A179" s="4" t="s">
        <v>300</v>
      </c>
      <c r="B179" s="3" t="s">
        <v>357</v>
      </c>
      <c r="C179" s="4" t="s">
        <v>358</v>
      </c>
      <c r="D179" s="4">
        <v>15.830000000000002</v>
      </c>
      <c r="E179" s="29">
        <v>2014</v>
      </c>
      <c r="F179" s="5">
        <v>0.45969677826910926</v>
      </c>
      <c r="G179" s="5">
        <v>0.46367656348704989</v>
      </c>
      <c r="H179" s="5">
        <v>0.55041061276058112</v>
      </c>
      <c r="I179" s="5">
        <v>0.37978521794061904</v>
      </c>
      <c r="J179" s="5">
        <v>0.34257738471257104</v>
      </c>
      <c r="K179" s="5"/>
      <c r="L179" s="5"/>
      <c r="M179" s="5"/>
      <c r="N179" s="5"/>
      <c r="O179" s="5"/>
      <c r="P179" s="5"/>
      <c r="Q179" s="5"/>
      <c r="R179" s="20">
        <f t="shared" si="2"/>
        <v>2.1961465571699303</v>
      </c>
      <c r="S179" s="6"/>
    </row>
    <row r="180" spans="1:19" s="2" customFormat="1" ht="20.100000000000001" customHeight="1">
      <c r="A180" s="4" t="s">
        <v>300</v>
      </c>
      <c r="B180" s="3" t="s">
        <v>359</v>
      </c>
      <c r="C180" s="4" t="s">
        <v>360</v>
      </c>
      <c r="D180" s="4">
        <v>18.260000000000002</v>
      </c>
      <c r="E180" s="29">
        <v>2013</v>
      </c>
      <c r="F180" s="5">
        <v>2.9699890470974806</v>
      </c>
      <c r="G180" s="5">
        <v>2.3864184008762317</v>
      </c>
      <c r="H180" s="5">
        <v>3.7875684556407445</v>
      </c>
      <c r="I180" s="5">
        <v>2.757009857612267</v>
      </c>
      <c r="J180" s="5">
        <v>2.054381161007667</v>
      </c>
      <c r="K180" s="5"/>
      <c r="L180" s="5"/>
      <c r="M180" s="5"/>
      <c r="N180" s="5"/>
      <c r="O180" s="5"/>
      <c r="P180" s="5"/>
      <c r="Q180" s="5"/>
      <c r="R180" s="20">
        <f t="shared" si="2"/>
        <v>13.955366922234392</v>
      </c>
      <c r="S180" s="6"/>
    </row>
    <row r="181" spans="1:19" s="2" customFormat="1" ht="20.100000000000001" customHeight="1">
      <c r="A181" s="4" t="s">
        <v>300</v>
      </c>
      <c r="B181" s="3" t="s">
        <v>361</v>
      </c>
      <c r="C181" s="4" t="s">
        <v>362</v>
      </c>
      <c r="D181" s="4">
        <v>20.350000000000001</v>
      </c>
      <c r="E181" s="29">
        <v>2013</v>
      </c>
      <c r="F181" s="5">
        <v>2.2534643734643733</v>
      </c>
      <c r="G181" s="5">
        <v>2.6764127764127763</v>
      </c>
      <c r="H181" s="5">
        <v>2.4603931203931202</v>
      </c>
      <c r="I181" s="5">
        <v>1.8930712530712528</v>
      </c>
      <c r="J181" s="5">
        <v>2.2366093366093365</v>
      </c>
      <c r="K181" s="5"/>
      <c r="L181" s="5"/>
      <c r="M181" s="5"/>
      <c r="N181" s="5"/>
      <c r="O181" s="5"/>
      <c r="P181" s="5"/>
      <c r="Q181" s="5"/>
      <c r="R181" s="20">
        <f t="shared" si="2"/>
        <v>11.51995085995086</v>
      </c>
      <c r="S181" s="6"/>
    </row>
    <row r="182" spans="1:19" s="2" customFormat="1" ht="20.100000000000001" customHeight="1">
      <c r="A182" s="4" t="s">
        <v>300</v>
      </c>
      <c r="B182" s="3" t="s">
        <v>363</v>
      </c>
      <c r="C182" s="4" t="s">
        <v>364</v>
      </c>
      <c r="D182" s="4">
        <v>19.12</v>
      </c>
      <c r="E182" s="29">
        <v>2013</v>
      </c>
      <c r="F182" s="5">
        <v>2.3531903765690378</v>
      </c>
      <c r="G182" s="5">
        <v>2.9427824267782428</v>
      </c>
      <c r="H182" s="5">
        <v>2.7947175732217571</v>
      </c>
      <c r="I182" s="5">
        <v>2.3207112970711297</v>
      </c>
      <c r="J182" s="5">
        <v>2.3291841004184097</v>
      </c>
      <c r="K182" s="5"/>
      <c r="L182" s="5"/>
      <c r="M182" s="5"/>
      <c r="N182" s="5"/>
      <c r="O182" s="5"/>
      <c r="P182" s="5"/>
      <c r="Q182" s="5"/>
      <c r="R182" s="20">
        <f t="shared" si="2"/>
        <v>12.740585774058577</v>
      </c>
      <c r="S182" s="6"/>
    </row>
    <row r="183" spans="1:19" s="2" customFormat="1" ht="20.100000000000001" customHeight="1">
      <c r="A183" s="4" t="s">
        <v>300</v>
      </c>
      <c r="B183" s="3" t="s">
        <v>365</v>
      </c>
      <c r="C183" s="4" t="s">
        <v>366</v>
      </c>
      <c r="D183" s="4">
        <v>22.37</v>
      </c>
      <c r="E183" s="29">
        <v>2013</v>
      </c>
      <c r="F183" s="5">
        <v>2.3454626732230661</v>
      </c>
      <c r="G183" s="5">
        <v>2.604380867232901</v>
      </c>
      <c r="H183" s="5">
        <v>2.3186410371032631</v>
      </c>
      <c r="I183" s="5">
        <v>2.1967814036656237</v>
      </c>
      <c r="J183" s="5">
        <v>2.0453732677693339</v>
      </c>
      <c r="K183" s="5"/>
      <c r="L183" s="5"/>
      <c r="M183" s="5"/>
      <c r="N183" s="5"/>
      <c r="O183" s="5"/>
      <c r="P183" s="5"/>
      <c r="Q183" s="5"/>
      <c r="R183" s="20">
        <f t="shared" si="2"/>
        <v>11.510639248994188</v>
      </c>
      <c r="S183" s="6"/>
    </row>
    <row r="184" spans="1:19" s="2" customFormat="1" ht="20.100000000000001" customHeight="1">
      <c r="A184" s="4" t="s">
        <v>300</v>
      </c>
      <c r="B184" s="3" t="s">
        <v>367</v>
      </c>
      <c r="C184" s="4" t="s">
        <v>368</v>
      </c>
      <c r="D184" s="4">
        <v>20.079999999999998</v>
      </c>
      <c r="E184" s="29">
        <v>2014</v>
      </c>
      <c r="F184" s="5">
        <v>3.0843127490039843</v>
      </c>
      <c r="G184" s="5">
        <v>3.3702689243027888</v>
      </c>
      <c r="H184" s="5">
        <v>3.0395916334661357</v>
      </c>
      <c r="I184" s="5">
        <v>2.3502988047808766</v>
      </c>
      <c r="J184" s="5">
        <v>2.2632470119521915</v>
      </c>
      <c r="K184" s="5"/>
      <c r="L184" s="5"/>
      <c r="M184" s="5"/>
      <c r="N184" s="5"/>
      <c r="O184" s="5"/>
      <c r="P184" s="5"/>
      <c r="Q184" s="5"/>
      <c r="R184" s="20">
        <f t="shared" si="2"/>
        <v>14.107719123505978</v>
      </c>
      <c r="S184" s="6"/>
    </row>
    <row r="185" spans="1:19" s="2" customFormat="1" ht="20.100000000000001" customHeight="1">
      <c r="A185" s="4" t="s">
        <v>300</v>
      </c>
      <c r="B185" s="3" t="s">
        <v>369</v>
      </c>
      <c r="C185" s="4" t="s">
        <v>370</v>
      </c>
      <c r="D185" s="4">
        <v>4.28</v>
      </c>
      <c r="E185" s="29">
        <v>2014</v>
      </c>
      <c r="F185" s="5">
        <v>1.919626168224299</v>
      </c>
      <c r="G185" s="5">
        <v>2.5427570093457943</v>
      </c>
      <c r="H185" s="5">
        <v>1.5532710280373832</v>
      </c>
      <c r="I185" s="5">
        <v>1.5649532710280374</v>
      </c>
      <c r="J185" s="5">
        <v>1.2792056074766354</v>
      </c>
      <c r="K185" s="5"/>
      <c r="L185" s="5"/>
      <c r="M185" s="5"/>
      <c r="N185" s="5"/>
      <c r="O185" s="5"/>
      <c r="P185" s="5"/>
      <c r="Q185" s="5"/>
      <c r="R185" s="20">
        <f t="shared" si="2"/>
        <v>8.8598130841121474</v>
      </c>
      <c r="S185" s="6"/>
    </row>
    <row r="186" spans="1:19" s="2" customFormat="1" ht="20.100000000000001" customHeight="1">
      <c r="A186" s="4" t="s">
        <v>300</v>
      </c>
      <c r="B186" s="3" t="s">
        <v>371</v>
      </c>
      <c r="C186" s="4" t="s">
        <v>372</v>
      </c>
      <c r="D186" s="4">
        <v>3.62</v>
      </c>
      <c r="E186" s="29">
        <v>2014</v>
      </c>
      <c r="F186" s="5">
        <v>3.3439226519337018</v>
      </c>
      <c r="G186" s="5">
        <v>3.2331491712707181</v>
      </c>
      <c r="H186" s="5">
        <v>2.4472375690607731</v>
      </c>
      <c r="I186" s="5">
        <v>2.9533149171270714</v>
      </c>
      <c r="J186" s="5">
        <v>2.2947513812154692</v>
      </c>
      <c r="K186" s="5"/>
      <c r="L186" s="5"/>
      <c r="M186" s="5"/>
      <c r="N186" s="5"/>
      <c r="O186" s="5"/>
      <c r="P186" s="5"/>
      <c r="Q186" s="5"/>
      <c r="R186" s="20">
        <f t="shared" si="2"/>
        <v>14.272375690607735</v>
      </c>
      <c r="S186" s="6"/>
    </row>
    <row r="187" spans="1:19" s="2" customFormat="1" ht="20.100000000000001" customHeight="1">
      <c r="A187" s="4" t="s">
        <v>300</v>
      </c>
      <c r="B187" s="3" t="s">
        <v>373</v>
      </c>
      <c r="C187" s="4" t="s">
        <v>374</v>
      </c>
      <c r="D187" s="4">
        <v>7.23</v>
      </c>
      <c r="E187" s="29">
        <v>2014</v>
      </c>
      <c r="F187" s="5">
        <v>2.6959889349930841</v>
      </c>
      <c r="G187" s="5">
        <v>2.9473029045643151</v>
      </c>
      <c r="H187" s="5">
        <v>2.0080221300138312</v>
      </c>
      <c r="I187" s="5">
        <v>2.4709543568464727</v>
      </c>
      <c r="J187" s="5">
        <v>2.1048409405255875</v>
      </c>
      <c r="K187" s="5"/>
      <c r="L187" s="5"/>
      <c r="M187" s="5"/>
      <c r="N187" s="5"/>
      <c r="O187" s="5"/>
      <c r="P187" s="5"/>
      <c r="Q187" s="5"/>
      <c r="R187" s="20">
        <f t="shared" si="2"/>
        <v>12.227109266943291</v>
      </c>
      <c r="S187" s="6"/>
    </row>
    <row r="188" spans="1:19" s="2" customFormat="1" ht="20.100000000000001" customHeight="1">
      <c r="A188" s="4" t="s">
        <v>300</v>
      </c>
      <c r="B188" s="3" t="s">
        <v>375</v>
      </c>
      <c r="C188" s="4" t="s">
        <v>376</v>
      </c>
      <c r="D188" s="4">
        <v>10.28</v>
      </c>
      <c r="E188" s="29">
        <v>2014</v>
      </c>
      <c r="F188" s="5">
        <v>2.6636186770428019</v>
      </c>
      <c r="G188" s="5">
        <v>2.9259727626459142</v>
      </c>
      <c r="H188" s="5">
        <v>2.1359922178988326</v>
      </c>
      <c r="I188" s="5">
        <v>2.6911478599221792</v>
      </c>
      <c r="J188" s="5">
        <v>2.1923151750972765</v>
      </c>
      <c r="K188" s="5"/>
      <c r="L188" s="5"/>
      <c r="M188" s="5"/>
      <c r="N188" s="5"/>
      <c r="O188" s="5"/>
      <c r="P188" s="5"/>
      <c r="Q188" s="5"/>
      <c r="R188" s="20">
        <f t="shared" si="2"/>
        <v>12.609046692607004</v>
      </c>
      <c r="S188" s="6"/>
    </row>
    <row r="189" spans="1:19" s="2" customFormat="1" ht="20.100000000000001" customHeight="1">
      <c r="A189" s="4" t="s">
        <v>300</v>
      </c>
      <c r="B189" s="3" t="s">
        <v>377</v>
      </c>
      <c r="C189" s="4" t="s">
        <v>378</v>
      </c>
      <c r="D189" s="4">
        <v>12.5</v>
      </c>
      <c r="E189" s="29">
        <v>2014</v>
      </c>
      <c r="F189" s="5">
        <v>2.4015999999999997</v>
      </c>
      <c r="G189" s="5">
        <v>2.5015999999999998</v>
      </c>
      <c r="H189" s="5">
        <v>1.8797600000000001</v>
      </c>
      <c r="I189" s="5">
        <v>2.3464800000000001</v>
      </c>
      <c r="J189" s="5">
        <v>1.69224</v>
      </c>
      <c r="K189" s="5"/>
      <c r="L189" s="5"/>
      <c r="M189" s="5"/>
      <c r="N189" s="5"/>
      <c r="O189" s="5"/>
      <c r="P189" s="5"/>
      <c r="Q189" s="5"/>
      <c r="R189" s="20">
        <f t="shared" si="2"/>
        <v>10.821680000000001</v>
      </c>
      <c r="S189" s="6"/>
    </row>
    <row r="190" spans="1:19" s="2" customFormat="1" ht="20.100000000000001" customHeight="1">
      <c r="A190" s="4" t="s">
        <v>300</v>
      </c>
      <c r="B190" s="3" t="s">
        <v>379</v>
      </c>
      <c r="C190" s="4" t="s">
        <v>380</v>
      </c>
      <c r="D190" s="4">
        <v>18.78</v>
      </c>
      <c r="E190" s="29">
        <v>2014</v>
      </c>
      <c r="F190" s="5">
        <v>2.5562832800851969</v>
      </c>
      <c r="G190" s="5">
        <v>3.1958998935037273</v>
      </c>
      <c r="H190" s="5">
        <v>2.4892438764643234</v>
      </c>
      <c r="I190" s="5">
        <v>2.6682108626198082</v>
      </c>
      <c r="J190" s="5">
        <v>2.1125665601703942</v>
      </c>
      <c r="K190" s="5"/>
      <c r="L190" s="5"/>
      <c r="M190" s="5"/>
      <c r="N190" s="5"/>
      <c r="O190" s="5"/>
      <c r="P190" s="5"/>
      <c r="Q190" s="5"/>
      <c r="R190" s="20">
        <f t="shared" si="2"/>
        <v>13.02220447284345</v>
      </c>
      <c r="S190" s="6"/>
    </row>
    <row r="191" spans="1:19" s="2" customFormat="1" ht="20.100000000000001" customHeight="1">
      <c r="A191" s="4" t="s">
        <v>300</v>
      </c>
      <c r="B191" s="3" t="s">
        <v>381</v>
      </c>
      <c r="C191" s="4" t="s">
        <v>382</v>
      </c>
      <c r="D191" s="4">
        <v>18.8</v>
      </c>
      <c r="E191" s="29">
        <v>2014</v>
      </c>
      <c r="F191" s="5">
        <v>2.1485638297872338</v>
      </c>
      <c r="G191" s="5">
        <v>2.5416489361702128</v>
      </c>
      <c r="H191" s="5">
        <v>1.9185106382978723</v>
      </c>
      <c r="I191" s="5">
        <v>2.3778723404255322</v>
      </c>
      <c r="J191" s="5">
        <v>2.1479787234042549</v>
      </c>
      <c r="K191" s="5"/>
      <c r="L191" s="5"/>
      <c r="M191" s="5"/>
      <c r="N191" s="5"/>
      <c r="O191" s="5"/>
      <c r="P191" s="5"/>
      <c r="Q191" s="5"/>
      <c r="R191" s="20">
        <f t="shared" si="2"/>
        <v>11.134574468085106</v>
      </c>
      <c r="S191" s="6"/>
    </row>
    <row r="192" spans="1:19" s="2" customFormat="1" ht="20.100000000000001" customHeight="1">
      <c r="A192" s="4" t="s">
        <v>300</v>
      </c>
      <c r="B192" s="3">
        <v>394</v>
      </c>
      <c r="C192" s="4" t="s">
        <v>383</v>
      </c>
      <c r="D192" s="4">
        <v>30.1</v>
      </c>
      <c r="E192" s="29">
        <v>2014</v>
      </c>
      <c r="F192" s="5">
        <v>2.1693355481727572</v>
      </c>
      <c r="G192" s="5">
        <v>2.4149833887043188</v>
      </c>
      <c r="H192" s="5">
        <v>2.323887043189369</v>
      </c>
      <c r="I192" s="5">
        <v>1.7244850498338868</v>
      </c>
      <c r="J192" s="5">
        <v>1.9647508305647838</v>
      </c>
      <c r="K192" s="5"/>
      <c r="L192" s="5"/>
      <c r="M192" s="5"/>
      <c r="N192" s="5"/>
      <c r="O192" s="5"/>
      <c r="P192" s="5"/>
      <c r="Q192" s="5"/>
      <c r="R192" s="20">
        <f t="shared" si="2"/>
        <v>10.597441860465116</v>
      </c>
      <c r="S192" s="6"/>
    </row>
    <row r="193" spans="1:19" s="2" customFormat="1" ht="20.100000000000001" customHeight="1">
      <c r="A193" s="4" t="s">
        <v>300</v>
      </c>
      <c r="B193" s="3">
        <v>240</v>
      </c>
      <c r="C193" s="4" t="s">
        <v>384</v>
      </c>
      <c r="D193" s="4">
        <v>3.72</v>
      </c>
      <c r="E193" s="29">
        <v>2015</v>
      </c>
      <c r="F193" s="5">
        <v>1.5325268817204301</v>
      </c>
      <c r="G193" s="5">
        <v>1.6510752688172041</v>
      </c>
      <c r="H193" s="5">
        <v>1.213978494623656</v>
      </c>
      <c r="I193" s="5">
        <v>1.1591397849462364</v>
      </c>
      <c r="J193" s="5">
        <v>0.93360215053763429</v>
      </c>
      <c r="K193" s="5"/>
      <c r="L193" s="5"/>
      <c r="M193" s="5"/>
      <c r="N193" s="5"/>
      <c r="O193" s="5"/>
      <c r="P193" s="5"/>
      <c r="Q193" s="5"/>
      <c r="R193" s="20">
        <f t="shared" si="2"/>
        <v>6.4903225806451612</v>
      </c>
      <c r="S193" s="6"/>
    </row>
    <row r="194" spans="1:19" s="2" customFormat="1" ht="15">
      <c r="A194" s="4" t="s">
        <v>385</v>
      </c>
      <c r="B194" s="3" t="s">
        <v>386</v>
      </c>
      <c r="C194" s="4" t="s">
        <v>387</v>
      </c>
      <c r="D194" s="4">
        <v>17.84</v>
      </c>
      <c r="E194" s="29">
        <v>2014</v>
      </c>
      <c r="F194" s="5">
        <v>1.8185538116591928</v>
      </c>
      <c r="G194" s="5">
        <v>1.8402466367713004</v>
      </c>
      <c r="H194" s="5">
        <v>1.7461883408071748</v>
      </c>
      <c r="I194" s="5">
        <v>1.7672645739910315</v>
      </c>
      <c r="J194" s="5">
        <v>1.1429372197309418</v>
      </c>
      <c r="K194" s="5"/>
      <c r="L194" s="5"/>
      <c r="M194" s="5"/>
      <c r="N194" s="5"/>
      <c r="O194" s="5"/>
      <c r="P194" s="5"/>
      <c r="Q194" s="5"/>
      <c r="R194" s="20">
        <f t="shared" si="2"/>
        <v>8.3151905829596409</v>
      </c>
      <c r="S194" s="6"/>
    </row>
    <row r="195" spans="1:19" s="2" customFormat="1" ht="15">
      <c r="A195" s="4" t="s">
        <v>385</v>
      </c>
      <c r="B195" s="3" t="s">
        <v>388</v>
      </c>
      <c r="C195" s="4" t="s">
        <v>389</v>
      </c>
      <c r="D195" s="4">
        <v>18.760000000000002</v>
      </c>
      <c r="E195" s="29">
        <v>2014</v>
      </c>
      <c r="F195" s="5">
        <v>1.9536780383795307</v>
      </c>
      <c r="G195" s="5">
        <v>2.1485074626865672</v>
      </c>
      <c r="H195" s="5">
        <v>1.8804371002132196</v>
      </c>
      <c r="I195" s="5">
        <v>1.8928571428571426</v>
      </c>
      <c r="J195" s="5">
        <v>1.3826759061833689</v>
      </c>
      <c r="K195" s="5"/>
      <c r="L195" s="5"/>
      <c r="M195" s="5"/>
      <c r="N195" s="5"/>
      <c r="O195" s="5"/>
      <c r="P195" s="5"/>
      <c r="Q195" s="5"/>
      <c r="R195" s="20">
        <f t="shared" ref="R195:R258" si="3">SUM(F195:Q195)</f>
        <v>9.2581556503198286</v>
      </c>
      <c r="S195" s="6"/>
    </row>
    <row r="196" spans="1:19" s="2" customFormat="1" ht="15">
      <c r="A196" s="4" t="s">
        <v>385</v>
      </c>
      <c r="B196" s="3" t="s">
        <v>390</v>
      </c>
      <c r="C196" s="4" t="s">
        <v>391</v>
      </c>
      <c r="D196" s="4">
        <v>19.850000000000001</v>
      </c>
      <c r="E196" s="29">
        <v>2014</v>
      </c>
      <c r="F196" s="5">
        <v>1.5481612090680101</v>
      </c>
      <c r="G196" s="5">
        <v>2.3287657430730477</v>
      </c>
      <c r="H196" s="5">
        <v>1.863778337531486</v>
      </c>
      <c r="I196" s="5">
        <v>2.0390931989924432</v>
      </c>
      <c r="J196" s="5">
        <v>1.2759193954659949</v>
      </c>
      <c r="K196" s="5"/>
      <c r="L196" s="5"/>
      <c r="M196" s="5"/>
      <c r="N196" s="5"/>
      <c r="O196" s="5"/>
      <c r="P196" s="5"/>
      <c r="Q196" s="5"/>
      <c r="R196" s="20">
        <f t="shared" si="3"/>
        <v>9.0557178841309813</v>
      </c>
      <c r="S196" s="6"/>
    </row>
    <row r="197" spans="1:19" s="2" customFormat="1" ht="15">
      <c r="A197" s="4" t="s">
        <v>385</v>
      </c>
      <c r="B197" s="3" t="s">
        <v>392</v>
      </c>
      <c r="C197" s="4" t="s">
        <v>393</v>
      </c>
      <c r="D197" s="4">
        <v>18.52</v>
      </c>
      <c r="E197" s="29">
        <v>2014</v>
      </c>
      <c r="F197" s="5">
        <v>1.9001619870410369</v>
      </c>
      <c r="G197" s="5">
        <v>3.1717062634989204</v>
      </c>
      <c r="H197" s="5">
        <v>2.3751079913606912</v>
      </c>
      <c r="I197" s="5">
        <v>2.340172786177106</v>
      </c>
      <c r="J197" s="5">
        <v>1.6142008639308856</v>
      </c>
      <c r="K197" s="5"/>
      <c r="L197" s="5"/>
      <c r="M197" s="5"/>
      <c r="N197" s="5"/>
      <c r="O197" s="5"/>
      <c r="P197" s="5"/>
      <c r="Q197" s="5"/>
      <c r="R197" s="20">
        <f t="shared" si="3"/>
        <v>11.401349892008641</v>
      </c>
      <c r="S197" s="6"/>
    </row>
    <row r="198" spans="1:19" s="2" customFormat="1" ht="15">
      <c r="A198" s="4" t="s">
        <v>385</v>
      </c>
      <c r="B198" s="3" t="s">
        <v>394</v>
      </c>
      <c r="C198" s="4" t="s">
        <v>395</v>
      </c>
      <c r="D198" s="4">
        <v>22.97</v>
      </c>
      <c r="E198" s="29">
        <v>2014</v>
      </c>
      <c r="F198" s="5">
        <v>1.7924249020461474</v>
      </c>
      <c r="G198" s="5">
        <v>2.5669569003047452</v>
      </c>
      <c r="H198" s="5">
        <v>1.665084893339138</v>
      </c>
      <c r="I198" s="5">
        <v>1.8726164562472791</v>
      </c>
      <c r="J198" s="5">
        <v>1.8604266434479757</v>
      </c>
      <c r="K198" s="5"/>
      <c r="L198" s="5"/>
      <c r="M198" s="5"/>
      <c r="N198" s="5"/>
      <c r="O198" s="5"/>
      <c r="P198" s="5"/>
      <c r="Q198" s="5"/>
      <c r="R198" s="20">
        <f t="shared" si="3"/>
        <v>9.7575097953852854</v>
      </c>
      <c r="S198" s="6"/>
    </row>
    <row r="199" spans="1:19" s="2" customFormat="1" ht="15">
      <c r="A199" s="4" t="s">
        <v>385</v>
      </c>
      <c r="B199" s="3" t="s">
        <v>396</v>
      </c>
      <c r="C199" s="4" t="s">
        <v>397</v>
      </c>
      <c r="D199" s="4">
        <v>14.4</v>
      </c>
      <c r="E199" s="29">
        <v>2015</v>
      </c>
      <c r="F199" s="5">
        <v>1.9612499999999999</v>
      </c>
      <c r="G199" s="5">
        <v>2.8393055555555557</v>
      </c>
      <c r="H199" s="5">
        <v>1.7889583333333332</v>
      </c>
      <c r="I199" s="5">
        <v>1.9204166666666664</v>
      </c>
      <c r="J199" s="5">
        <v>2.1210416666666667</v>
      </c>
      <c r="K199" s="5"/>
      <c r="L199" s="5"/>
      <c r="M199" s="5"/>
      <c r="N199" s="5"/>
      <c r="O199" s="5"/>
      <c r="P199" s="5"/>
      <c r="Q199" s="5"/>
      <c r="R199" s="20">
        <f t="shared" si="3"/>
        <v>10.630972222222223</v>
      </c>
      <c r="S199" s="6"/>
    </row>
    <row r="200" spans="1:19" s="2" customFormat="1" ht="15">
      <c r="A200" s="4" t="s">
        <v>385</v>
      </c>
      <c r="B200" s="3" t="s">
        <v>398</v>
      </c>
      <c r="C200" s="4" t="s">
        <v>399</v>
      </c>
      <c r="D200" s="4">
        <v>9.32</v>
      </c>
      <c r="E200" s="29">
        <v>2014</v>
      </c>
      <c r="F200" s="5">
        <v>2.3530042918454934</v>
      </c>
      <c r="G200" s="5">
        <v>2.2250000000000001</v>
      </c>
      <c r="H200" s="5">
        <v>2.0809012875536483</v>
      </c>
      <c r="I200" s="5">
        <v>1.8377682403433475</v>
      </c>
      <c r="J200" s="5">
        <v>1.3024678111587982</v>
      </c>
      <c r="K200" s="5"/>
      <c r="L200" s="5"/>
      <c r="M200" s="5"/>
      <c r="N200" s="5"/>
      <c r="O200" s="5"/>
      <c r="P200" s="5"/>
      <c r="Q200" s="5"/>
      <c r="R200" s="20">
        <f t="shared" si="3"/>
        <v>9.7991416309012891</v>
      </c>
      <c r="S200" s="6"/>
    </row>
    <row r="201" spans="1:19" s="2" customFormat="1" ht="15">
      <c r="A201" s="4" t="s">
        <v>385</v>
      </c>
      <c r="B201" s="3" t="s">
        <v>400</v>
      </c>
      <c r="C201" s="4" t="s">
        <v>401</v>
      </c>
      <c r="D201" s="4">
        <v>13.92</v>
      </c>
      <c r="E201" s="29">
        <v>2014</v>
      </c>
      <c r="F201" s="5">
        <v>2.2121408045977011</v>
      </c>
      <c r="G201" s="5">
        <v>2.0033764367816094</v>
      </c>
      <c r="H201" s="5">
        <v>1.7525862068965516</v>
      </c>
      <c r="I201" s="5">
        <v>1.4275143678160918</v>
      </c>
      <c r="J201" s="5">
        <v>0.9181034482758621</v>
      </c>
      <c r="K201" s="5"/>
      <c r="L201" s="5"/>
      <c r="M201" s="5"/>
      <c r="N201" s="5"/>
      <c r="O201" s="5"/>
      <c r="P201" s="5"/>
      <c r="Q201" s="5"/>
      <c r="R201" s="20">
        <f t="shared" si="3"/>
        <v>8.3137212643678158</v>
      </c>
      <c r="S201" s="6"/>
    </row>
    <row r="202" spans="1:19" s="2" customFormat="1" ht="15">
      <c r="A202" s="4" t="s">
        <v>385</v>
      </c>
      <c r="B202" s="3" t="s">
        <v>402</v>
      </c>
      <c r="C202" s="4" t="s">
        <v>403</v>
      </c>
      <c r="D202" s="4">
        <v>17.11</v>
      </c>
      <c r="E202" s="29">
        <v>2014</v>
      </c>
      <c r="F202" s="5">
        <v>2.3983635300993575</v>
      </c>
      <c r="G202" s="5">
        <v>1.9506721215663356</v>
      </c>
      <c r="H202" s="5">
        <v>1.6040327293980128</v>
      </c>
      <c r="I202" s="5">
        <v>1.5296317942723554</v>
      </c>
      <c r="J202" s="5">
        <v>0.98118059614260666</v>
      </c>
      <c r="K202" s="5"/>
      <c r="L202" s="5"/>
      <c r="M202" s="5"/>
      <c r="N202" s="5"/>
      <c r="O202" s="5"/>
      <c r="P202" s="5"/>
      <c r="Q202" s="5"/>
      <c r="R202" s="20">
        <f t="shared" si="3"/>
        <v>8.4638807714786672</v>
      </c>
      <c r="S202" s="6"/>
    </row>
    <row r="203" spans="1:19" s="2" customFormat="1" ht="15">
      <c r="A203" s="4" t="s">
        <v>385</v>
      </c>
      <c r="B203" s="3" t="s">
        <v>404</v>
      </c>
      <c r="C203" s="4" t="s">
        <v>405</v>
      </c>
      <c r="D203" s="4">
        <v>18.559999999999999</v>
      </c>
      <c r="E203" s="29">
        <v>2014</v>
      </c>
      <c r="F203" s="5">
        <v>2.1313038793103449</v>
      </c>
      <c r="G203" s="5">
        <v>2.1811422413793107</v>
      </c>
      <c r="H203" s="5">
        <v>2.1455280172413795</v>
      </c>
      <c r="I203" s="5">
        <v>1.8734913793103449</v>
      </c>
      <c r="J203" s="5">
        <v>1.0921875000000001</v>
      </c>
      <c r="K203" s="5"/>
      <c r="L203" s="5"/>
      <c r="M203" s="5"/>
      <c r="N203" s="5"/>
      <c r="O203" s="5"/>
      <c r="P203" s="5"/>
      <c r="Q203" s="5"/>
      <c r="R203" s="20">
        <f t="shared" si="3"/>
        <v>9.4236530172413797</v>
      </c>
      <c r="S203" s="6"/>
    </row>
    <row r="204" spans="1:19" s="2" customFormat="1" ht="15">
      <c r="A204" s="4" t="s">
        <v>385</v>
      </c>
      <c r="B204" s="3" t="s">
        <v>406</v>
      </c>
      <c r="C204" s="4" t="s">
        <v>407</v>
      </c>
      <c r="D204" s="4">
        <v>18.52</v>
      </c>
      <c r="E204" s="29">
        <v>2014</v>
      </c>
      <c r="F204" s="5">
        <v>1.8130129589632829</v>
      </c>
      <c r="G204" s="5">
        <v>1.6666306695464363</v>
      </c>
      <c r="H204" s="5">
        <v>1.567548596112311</v>
      </c>
      <c r="I204" s="5">
        <v>1.2643628509719222</v>
      </c>
      <c r="J204" s="5">
        <v>0.96517278617710589</v>
      </c>
      <c r="K204" s="5"/>
      <c r="L204" s="5"/>
      <c r="M204" s="5"/>
      <c r="N204" s="5"/>
      <c r="O204" s="5"/>
      <c r="P204" s="5"/>
      <c r="Q204" s="5"/>
      <c r="R204" s="20">
        <f t="shared" si="3"/>
        <v>7.2767278617710582</v>
      </c>
      <c r="S204" s="6"/>
    </row>
    <row r="205" spans="1:19" s="2" customFormat="1" ht="15">
      <c r="A205" s="4" t="s">
        <v>385</v>
      </c>
      <c r="B205" s="3" t="s">
        <v>408</v>
      </c>
      <c r="C205" s="4" t="s">
        <v>409</v>
      </c>
      <c r="D205" s="4">
        <v>19.63</v>
      </c>
      <c r="E205" s="29">
        <v>2014</v>
      </c>
      <c r="F205" s="5">
        <v>1.8481915435557821</v>
      </c>
      <c r="G205" s="5">
        <v>2.608914926133469</v>
      </c>
      <c r="H205" s="5">
        <v>2.1316352521650539</v>
      </c>
      <c r="I205" s="5">
        <v>2.0618950585838007</v>
      </c>
      <c r="J205" s="5">
        <v>1.4773306164034641</v>
      </c>
      <c r="K205" s="5"/>
      <c r="L205" s="5"/>
      <c r="M205" s="5"/>
      <c r="N205" s="5"/>
      <c r="O205" s="5"/>
      <c r="P205" s="5"/>
      <c r="Q205" s="5"/>
      <c r="R205" s="20">
        <f t="shared" si="3"/>
        <v>10.127967396841569</v>
      </c>
      <c r="S205" s="6"/>
    </row>
    <row r="206" spans="1:19" s="2" customFormat="1" ht="15">
      <c r="A206" s="4" t="s">
        <v>385</v>
      </c>
      <c r="B206" s="3" t="s">
        <v>410</v>
      </c>
      <c r="C206" s="4" t="s">
        <v>411</v>
      </c>
      <c r="D206" s="4">
        <v>6.38</v>
      </c>
      <c r="E206" s="29">
        <v>2014</v>
      </c>
      <c r="F206" s="5">
        <v>2.2495297805642633</v>
      </c>
      <c r="G206" s="5">
        <v>2.7169278996865205</v>
      </c>
      <c r="H206" s="5">
        <v>2.1515673981191221</v>
      </c>
      <c r="I206" s="5">
        <v>1.5114420062695924</v>
      </c>
      <c r="J206" s="5">
        <v>1.9695924764890282</v>
      </c>
      <c r="K206" s="5"/>
      <c r="L206" s="5"/>
      <c r="M206" s="5"/>
      <c r="N206" s="5"/>
      <c r="O206" s="5"/>
      <c r="P206" s="5"/>
      <c r="Q206" s="5"/>
      <c r="R206" s="20">
        <f t="shared" si="3"/>
        <v>10.599059561128525</v>
      </c>
      <c r="S206" s="6"/>
    </row>
    <row r="207" spans="1:19" s="2" customFormat="1" ht="15">
      <c r="A207" s="4" t="s">
        <v>385</v>
      </c>
      <c r="B207" s="3" t="s">
        <v>412</v>
      </c>
      <c r="C207" s="4" t="s">
        <v>413</v>
      </c>
      <c r="D207" s="4">
        <v>3.51</v>
      </c>
      <c r="E207" s="29">
        <v>2014</v>
      </c>
      <c r="F207" s="5">
        <v>2.4119658119658118</v>
      </c>
      <c r="G207" s="5">
        <v>2.8925925925925928</v>
      </c>
      <c r="H207" s="5">
        <v>2.4096866096866099</v>
      </c>
      <c r="I207" s="5">
        <v>2.0356125356125356</v>
      </c>
      <c r="J207" s="5">
        <v>1.9245014245014247</v>
      </c>
      <c r="K207" s="5"/>
      <c r="L207" s="5"/>
      <c r="M207" s="5"/>
      <c r="N207" s="5"/>
      <c r="O207" s="5"/>
      <c r="P207" s="5"/>
      <c r="Q207" s="5"/>
      <c r="R207" s="20">
        <f t="shared" si="3"/>
        <v>11.674358974358976</v>
      </c>
      <c r="S207" s="6"/>
    </row>
    <row r="208" spans="1:19" s="2" customFormat="1" ht="15">
      <c r="A208" s="4" t="s">
        <v>385</v>
      </c>
      <c r="B208" s="3" t="s">
        <v>414</v>
      </c>
      <c r="C208" s="4" t="s">
        <v>415</v>
      </c>
      <c r="D208" s="4">
        <v>0.59</v>
      </c>
      <c r="E208" s="29">
        <v>2014</v>
      </c>
      <c r="F208" s="5">
        <v>1.6203389830508474</v>
      </c>
      <c r="G208" s="5">
        <v>2.369491525423729</v>
      </c>
      <c r="H208" s="5">
        <v>1.7830508474576272</v>
      </c>
      <c r="I208" s="5">
        <v>1.2779661016949153</v>
      </c>
      <c r="J208" s="5">
        <v>1.4118644067796611</v>
      </c>
      <c r="K208" s="5"/>
      <c r="L208" s="5"/>
      <c r="M208" s="5"/>
      <c r="N208" s="5"/>
      <c r="O208" s="5"/>
      <c r="P208" s="5"/>
      <c r="Q208" s="5"/>
      <c r="R208" s="20">
        <f t="shared" si="3"/>
        <v>8.4627118644067814</v>
      </c>
      <c r="S208" s="6"/>
    </row>
    <row r="209" spans="1:19" s="2" customFormat="1" ht="15">
      <c r="A209" s="4" t="s">
        <v>385</v>
      </c>
      <c r="B209" s="3" t="s">
        <v>416</v>
      </c>
      <c r="C209" s="4" t="s">
        <v>417</v>
      </c>
      <c r="D209" s="4">
        <v>18.59</v>
      </c>
      <c r="E209" s="29">
        <v>2014</v>
      </c>
      <c r="F209" s="5">
        <v>1.8772996234534696</v>
      </c>
      <c r="G209" s="5">
        <v>2.6227003765465304</v>
      </c>
      <c r="H209" s="5">
        <v>2.059548144163529</v>
      </c>
      <c r="I209" s="5">
        <v>1.8634211941904251</v>
      </c>
      <c r="J209" s="5">
        <v>1.6873587950511029</v>
      </c>
      <c r="K209" s="5"/>
      <c r="L209" s="5"/>
      <c r="M209" s="5"/>
      <c r="N209" s="5"/>
      <c r="O209" s="5"/>
      <c r="P209" s="5"/>
      <c r="Q209" s="5"/>
      <c r="R209" s="20">
        <f t="shared" si="3"/>
        <v>10.110328133405055</v>
      </c>
      <c r="S209" s="6"/>
    </row>
    <row r="210" spans="1:19" s="2" customFormat="1" ht="15">
      <c r="A210" s="4" t="s">
        <v>385</v>
      </c>
      <c r="B210" s="3" t="s">
        <v>418</v>
      </c>
      <c r="C210" s="4" t="s">
        <v>419</v>
      </c>
      <c r="D210" s="4">
        <v>18.5</v>
      </c>
      <c r="E210" s="29">
        <v>2014</v>
      </c>
      <c r="F210" s="5">
        <v>2.3957837837837839</v>
      </c>
      <c r="G210" s="5">
        <v>2.7271351351351352</v>
      </c>
      <c r="H210" s="5">
        <v>1.8988108108108108</v>
      </c>
      <c r="I210" s="5">
        <v>1.8622162162162164</v>
      </c>
      <c r="J210" s="5">
        <v>2.0027027027027029</v>
      </c>
      <c r="K210" s="5"/>
      <c r="L210" s="5"/>
      <c r="M210" s="5"/>
      <c r="N210" s="5"/>
      <c r="O210" s="5"/>
      <c r="P210" s="5"/>
      <c r="Q210" s="5"/>
      <c r="R210" s="20">
        <f t="shared" si="3"/>
        <v>10.886648648648649</v>
      </c>
      <c r="S210" s="6"/>
    </row>
    <row r="211" spans="1:19" s="2" customFormat="1" ht="15">
      <c r="A211" s="4" t="s">
        <v>385</v>
      </c>
      <c r="B211" s="3" t="s">
        <v>420</v>
      </c>
      <c r="C211" s="4" t="s">
        <v>421</v>
      </c>
      <c r="D211" s="4">
        <v>18.05</v>
      </c>
      <c r="E211" s="29">
        <v>2014</v>
      </c>
      <c r="F211" s="5">
        <v>2.4721883656509696</v>
      </c>
      <c r="G211" s="5">
        <v>2.6945706371191136</v>
      </c>
      <c r="H211" s="5">
        <v>1.8350138504155125</v>
      </c>
      <c r="I211" s="5">
        <v>1.7087534626038781</v>
      </c>
      <c r="J211" s="5">
        <v>1.8585041551246535</v>
      </c>
      <c r="K211" s="5"/>
      <c r="L211" s="5"/>
      <c r="M211" s="5"/>
      <c r="N211" s="5"/>
      <c r="O211" s="5"/>
      <c r="P211" s="5"/>
      <c r="Q211" s="5"/>
      <c r="R211" s="20">
        <f t="shared" si="3"/>
        <v>10.569030470914129</v>
      </c>
      <c r="S211" s="6"/>
    </row>
    <row r="212" spans="1:19" s="2" customFormat="1" ht="15">
      <c r="A212" s="4" t="s">
        <v>385</v>
      </c>
      <c r="B212" s="3" t="s">
        <v>422</v>
      </c>
      <c r="C212" s="4" t="s">
        <v>423</v>
      </c>
      <c r="D212" s="4">
        <v>17.260000000000002</v>
      </c>
      <c r="E212" s="29">
        <v>2014</v>
      </c>
      <c r="F212" s="5">
        <v>2.1377752027809964</v>
      </c>
      <c r="G212" s="5">
        <v>2.2993626882966396</v>
      </c>
      <c r="H212" s="5">
        <v>1.3669177288528387</v>
      </c>
      <c r="I212" s="5">
        <v>1.483951332560834</v>
      </c>
      <c r="J212" s="5">
        <v>1.4828505214368481</v>
      </c>
      <c r="K212" s="5"/>
      <c r="L212" s="5"/>
      <c r="M212" s="5"/>
      <c r="N212" s="5"/>
      <c r="O212" s="5"/>
      <c r="P212" s="5"/>
      <c r="Q212" s="5"/>
      <c r="R212" s="20">
        <f t="shared" si="3"/>
        <v>8.7708574739281566</v>
      </c>
      <c r="S212" s="6"/>
    </row>
    <row r="213" spans="1:19" s="2" customFormat="1" ht="15">
      <c r="A213" s="4" t="s">
        <v>385</v>
      </c>
      <c r="B213" s="3" t="s">
        <v>424</v>
      </c>
      <c r="C213" s="4" t="s">
        <v>425</v>
      </c>
      <c r="D213" s="4">
        <v>13.12</v>
      </c>
      <c r="E213" s="29">
        <v>2014</v>
      </c>
      <c r="F213" s="5">
        <v>2.5963414634146345</v>
      </c>
      <c r="G213" s="5">
        <v>2.7214176829268295</v>
      </c>
      <c r="H213" s="5">
        <v>1.8377286585365855</v>
      </c>
      <c r="I213" s="5">
        <v>1.7486280487804879</v>
      </c>
      <c r="J213" s="5">
        <v>1.709298780487805</v>
      </c>
      <c r="K213" s="5"/>
      <c r="L213" s="5"/>
      <c r="M213" s="5"/>
      <c r="N213" s="5"/>
      <c r="O213" s="5"/>
      <c r="P213" s="5"/>
      <c r="Q213" s="5"/>
      <c r="R213" s="20">
        <f t="shared" si="3"/>
        <v>10.613414634146341</v>
      </c>
      <c r="S213" s="6"/>
    </row>
    <row r="214" spans="1:19" s="2" customFormat="1" ht="15">
      <c r="A214" s="4" t="s">
        <v>385</v>
      </c>
      <c r="B214" s="3" t="s">
        <v>426</v>
      </c>
      <c r="C214" s="4" t="s">
        <v>427</v>
      </c>
      <c r="D214" s="4">
        <v>11.11</v>
      </c>
      <c r="E214" s="29">
        <v>2014</v>
      </c>
      <c r="F214" s="5">
        <v>1.9391539153915391</v>
      </c>
      <c r="G214" s="5">
        <v>2.3635463546354636</v>
      </c>
      <c r="H214" s="5">
        <v>1.6904590459045905</v>
      </c>
      <c r="I214" s="5">
        <v>1.8491449144914494</v>
      </c>
      <c r="J214" s="5">
        <v>1.8595859585958596</v>
      </c>
      <c r="K214" s="5"/>
      <c r="L214" s="5"/>
      <c r="M214" s="5"/>
      <c r="N214" s="5"/>
      <c r="O214" s="5"/>
      <c r="P214" s="5"/>
      <c r="Q214" s="5"/>
      <c r="R214" s="20">
        <f t="shared" si="3"/>
        <v>9.7018901890189042</v>
      </c>
      <c r="S214" s="6"/>
    </row>
    <row r="215" spans="1:19" s="2" customFormat="1" ht="15">
      <c r="A215" s="4" t="s">
        <v>385</v>
      </c>
      <c r="B215" s="3" t="s">
        <v>428</v>
      </c>
      <c r="C215" s="4" t="s">
        <v>429</v>
      </c>
      <c r="D215" s="4">
        <v>7.62</v>
      </c>
      <c r="E215" s="29">
        <v>2014</v>
      </c>
      <c r="F215" s="5">
        <v>2.230577427821522</v>
      </c>
      <c r="G215" s="5">
        <v>2.426771653543307</v>
      </c>
      <c r="H215" s="5">
        <v>1.8404199475065617</v>
      </c>
      <c r="I215" s="5">
        <v>1.4977690288713912</v>
      </c>
      <c r="J215" s="5">
        <v>1.3738845144356955</v>
      </c>
      <c r="K215" s="5"/>
      <c r="L215" s="5"/>
      <c r="M215" s="5"/>
      <c r="N215" s="5"/>
      <c r="O215" s="5"/>
      <c r="P215" s="5"/>
      <c r="Q215" s="5"/>
      <c r="R215" s="20">
        <f t="shared" si="3"/>
        <v>9.369422572178479</v>
      </c>
      <c r="S215" s="6"/>
    </row>
    <row r="216" spans="1:19" s="2" customFormat="1" ht="15">
      <c r="A216" s="4" t="s">
        <v>385</v>
      </c>
      <c r="B216" s="3" t="s">
        <v>430</v>
      </c>
      <c r="C216" s="4" t="s">
        <v>431</v>
      </c>
      <c r="D216" s="4">
        <v>19.48</v>
      </c>
      <c r="E216" s="29">
        <v>2014</v>
      </c>
      <c r="F216" s="5">
        <v>1.7177618069815195</v>
      </c>
      <c r="G216" s="5">
        <v>1.8922484599589322</v>
      </c>
      <c r="H216" s="5">
        <v>1.8290041067761806</v>
      </c>
      <c r="I216" s="5">
        <v>1.6108316221765913</v>
      </c>
      <c r="J216" s="5">
        <v>1.4375256673511294</v>
      </c>
      <c r="K216" s="5"/>
      <c r="L216" s="5"/>
      <c r="M216" s="5"/>
      <c r="N216" s="5"/>
      <c r="O216" s="5"/>
      <c r="P216" s="5"/>
      <c r="Q216" s="5"/>
      <c r="R216" s="20">
        <f t="shared" si="3"/>
        <v>8.4873716632443532</v>
      </c>
      <c r="S216" s="6"/>
    </row>
    <row r="217" spans="1:19" s="2" customFormat="1" ht="15">
      <c r="A217" s="4" t="s">
        <v>385</v>
      </c>
      <c r="B217" s="3" t="s">
        <v>432</v>
      </c>
      <c r="C217" s="4" t="s">
        <v>433</v>
      </c>
      <c r="D217" s="4">
        <v>18.559999999999999</v>
      </c>
      <c r="E217" s="29">
        <v>2014</v>
      </c>
      <c r="F217" s="5">
        <v>1.8510237068965518</v>
      </c>
      <c r="G217" s="5">
        <v>1.6116918103448277</v>
      </c>
      <c r="H217" s="5">
        <v>1.4471443965517241</v>
      </c>
      <c r="I217" s="5">
        <v>1.3719288793103448</v>
      </c>
      <c r="J217" s="5">
        <v>1.2813038793103448</v>
      </c>
      <c r="K217" s="5"/>
      <c r="L217" s="5"/>
      <c r="M217" s="5"/>
      <c r="N217" s="5"/>
      <c r="O217" s="5"/>
      <c r="P217" s="5"/>
      <c r="Q217" s="5"/>
      <c r="R217" s="20">
        <f t="shared" si="3"/>
        <v>7.5630926724137941</v>
      </c>
      <c r="S217" s="6"/>
    </row>
    <row r="218" spans="1:19" s="2" customFormat="1" ht="15">
      <c r="A218" s="4" t="s">
        <v>385</v>
      </c>
      <c r="B218" s="3" t="s">
        <v>434</v>
      </c>
      <c r="C218" s="4" t="s">
        <v>435</v>
      </c>
      <c r="D218" s="4">
        <v>5.31</v>
      </c>
      <c r="E218" s="29">
        <v>2014</v>
      </c>
      <c r="F218" s="5">
        <v>1.8600753295668551</v>
      </c>
      <c r="G218" s="5">
        <v>2.1632768361581922</v>
      </c>
      <c r="H218" s="5">
        <v>1.2137476459510359</v>
      </c>
      <c r="I218" s="5">
        <v>1.1796610169491526</v>
      </c>
      <c r="J218" s="5">
        <v>0.99510357815442574</v>
      </c>
      <c r="K218" s="5"/>
      <c r="L218" s="5"/>
      <c r="M218" s="5"/>
      <c r="N218" s="5"/>
      <c r="O218" s="5"/>
      <c r="P218" s="5"/>
      <c r="Q218" s="5"/>
      <c r="R218" s="20">
        <f t="shared" si="3"/>
        <v>7.411864406779662</v>
      </c>
      <c r="S218" s="6"/>
    </row>
    <row r="219" spans="1:19" s="2" customFormat="1" ht="15">
      <c r="A219" s="4" t="s">
        <v>385</v>
      </c>
      <c r="B219" s="3" t="s">
        <v>436</v>
      </c>
      <c r="C219" s="4" t="s">
        <v>437</v>
      </c>
      <c r="D219" s="4">
        <v>17.329999999999998</v>
      </c>
      <c r="E219" s="29">
        <v>2014</v>
      </c>
      <c r="F219" s="5">
        <v>2.7819388343912292</v>
      </c>
      <c r="G219" s="5">
        <v>2.5271206001154067</v>
      </c>
      <c r="H219" s="5">
        <v>2.2557991921523373</v>
      </c>
      <c r="I219" s="5">
        <v>2.0178303519907677</v>
      </c>
      <c r="J219" s="5">
        <v>1.2000577034045008</v>
      </c>
      <c r="K219" s="5"/>
      <c r="L219" s="5"/>
      <c r="M219" s="5"/>
      <c r="N219" s="5"/>
      <c r="O219" s="5"/>
      <c r="P219" s="5"/>
      <c r="Q219" s="5"/>
      <c r="R219" s="20">
        <f t="shared" si="3"/>
        <v>10.782746682054242</v>
      </c>
      <c r="S219" s="6"/>
    </row>
    <row r="220" spans="1:19" s="2" customFormat="1" ht="15">
      <c r="A220" s="4" t="s">
        <v>385</v>
      </c>
      <c r="B220" s="3" t="s">
        <v>438</v>
      </c>
      <c r="C220" s="4" t="s">
        <v>439</v>
      </c>
      <c r="D220" s="4">
        <v>18.48</v>
      </c>
      <c r="E220" s="29">
        <v>2014</v>
      </c>
      <c r="F220" s="5">
        <v>1.9369588744588744</v>
      </c>
      <c r="G220" s="5">
        <v>1.6689935064935064</v>
      </c>
      <c r="H220" s="5">
        <v>1.5687770562770562</v>
      </c>
      <c r="I220" s="5">
        <v>1.4254329004329005</v>
      </c>
      <c r="J220" s="5">
        <v>1.0238095238095237</v>
      </c>
      <c r="K220" s="5"/>
      <c r="L220" s="5"/>
      <c r="M220" s="5"/>
      <c r="N220" s="5"/>
      <c r="O220" s="5"/>
      <c r="P220" s="5"/>
      <c r="Q220" s="5"/>
      <c r="R220" s="20">
        <f t="shared" si="3"/>
        <v>7.6239718614718619</v>
      </c>
      <c r="S220" s="6"/>
    </row>
    <row r="221" spans="1:19" s="2" customFormat="1" ht="15">
      <c r="A221" s="4" t="s">
        <v>385</v>
      </c>
      <c r="B221" s="3" t="s">
        <v>440</v>
      </c>
      <c r="C221" s="4" t="s">
        <v>441</v>
      </c>
      <c r="D221" s="4">
        <v>18.98</v>
      </c>
      <c r="E221" s="29">
        <v>2014</v>
      </c>
      <c r="F221" s="5">
        <v>2.345890410958904</v>
      </c>
      <c r="G221" s="5">
        <v>2.4071127502634351</v>
      </c>
      <c r="H221" s="5">
        <v>2.1718651211801898</v>
      </c>
      <c r="I221" s="5">
        <v>1.7097997892518439</v>
      </c>
      <c r="J221" s="5">
        <v>1.6860379346680716</v>
      </c>
      <c r="K221" s="5"/>
      <c r="L221" s="5"/>
      <c r="M221" s="5"/>
      <c r="N221" s="5"/>
      <c r="O221" s="5"/>
      <c r="P221" s="5"/>
      <c r="Q221" s="5"/>
      <c r="R221" s="20">
        <f t="shared" si="3"/>
        <v>10.320706006322444</v>
      </c>
      <c r="S221" s="6"/>
    </row>
    <row r="222" spans="1:19" s="2" customFormat="1" ht="15">
      <c r="A222" s="4" t="s">
        <v>385</v>
      </c>
      <c r="B222" s="3" t="s">
        <v>442</v>
      </c>
      <c r="C222" s="4" t="s">
        <v>443</v>
      </c>
      <c r="D222" s="4">
        <v>17.989999999999998</v>
      </c>
      <c r="E222" s="29">
        <v>2014</v>
      </c>
      <c r="F222" s="5">
        <v>2.2743746525847697</v>
      </c>
      <c r="G222" s="5">
        <v>2.0498054474708174</v>
      </c>
      <c r="H222" s="5">
        <v>2.0302390216787107</v>
      </c>
      <c r="I222" s="5">
        <v>1.7385769872151198</v>
      </c>
      <c r="J222" s="5">
        <v>1.5303501945525293</v>
      </c>
      <c r="K222" s="5"/>
      <c r="L222" s="5"/>
      <c r="M222" s="5"/>
      <c r="N222" s="5"/>
      <c r="O222" s="5"/>
      <c r="P222" s="5"/>
      <c r="Q222" s="5"/>
      <c r="R222" s="20">
        <f t="shared" si="3"/>
        <v>9.6233463035019469</v>
      </c>
      <c r="S222" s="6"/>
    </row>
    <row r="223" spans="1:19" s="2" customFormat="1" ht="15">
      <c r="A223" s="4" t="s">
        <v>385</v>
      </c>
      <c r="B223" s="3" t="s">
        <v>444</v>
      </c>
      <c r="C223" s="4" t="s">
        <v>445</v>
      </c>
      <c r="D223" s="4">
        <v>15.06</v>
      </c>
      <c r="E223" s="29">
        <v>2014</v>
      </c>
      <c r="F223" s="5">
        <v>2.2158698539176624</v>
      </c>
      <c r="G223" s="5">
        <v>2.1584993359893754</v>
      </c>
      <c r="H223" s="5">
        <v>2.2458167330677288</v>
      </c>
      <c r="I223" s="5">
        <v>1.8621513944223107</v>
      </c>
      <c r="J223" s="5">
        <v>1.6930278884462151</v>
      </c>
      <c r="K223" s="5"/>
      <c r="L223" s="5"/>
      <c r="M223" s="5"/>
      <c r="N223" s="5"/>
      <c r="O223" s="5"/>
      <c r="P223" s="5"/>
      <c r="Q223" s="5"/>
      <c r="R223" s="20">
        <f t="shared" si="3"/>
        <v>10.175365205843292</v>
      </c>
      <c r="S223" s="6"/>
    </row>
    <row r="224" spans="1:19" s="2" customFormat="1" ht="15">
      <c r="A224" s="4" t="s">
        <v>385</v>
      </c>
      <c r="B224" s="3" t="s">
        <v>446</v>
      </c>
      <c r="C224" s="4" t="s">
        <v>447</v>
      </c>
      <c r="D224" s="4">
        <v>12.77</v>
      </c>
      <c r="E224" s="29">
        <v>2014</v>
      </c>
      <c r="F224" s="5">
        <v>2.4317932654659358</v>
      </c>
      <c r="G224" s="5">
        <v>2.2120595144870792</v>
      </c>
      <c r="H224" s="5">
        <v>2.1768206734534066</v>
      </c>
      <c r="I224" s="5">
        <v>1.9708692247454973</v>
      </c>
      <c r="J224" s="5">
        <v>1.2650743931088488</v>
      </c>
      <c r="K224" s="5"/>
      <c r="L224" s="5"/>
      <c r="M224" s="5"/>
      <c r="N224" s="5"/>
      <c r="O224" s="5"/>
      <c r="P224" s="5"/>
      <c r="Q224" s="5"/>
      <c r="R224" s="20">
        <f t="shared" si="3"/>
        <v>10.056617071260767</v>
      </c>
      <c r="S224" s="6"/>
    </row>
    <row r="225" spans="1:19" s="2" customFormat="1" ht="15">
      <c r="A225" s="4" t="s">
        <v>385</v>
      </c>
      <c r="B225" s="3" t="s">
        <v>448</v>
      </c>
      <c r="C225" s="4" t="s">
        <v>449</v>
      </c>
      <c r="D225" s="4">
        <v>10.98</v>
      </c>
      <c r="E225" s="29">
        <v>2014</v>
      </c>
      <c r="F225" s="5">
        <v>1.9712204007285972</v>
      </c>
      <c r="G225" s="5">
        <v>1.8909836065573771</v>
      </c>
      <c r="H225" s="5">
        <v>1.7694899817850638</v>
      </c>
      <c r="I225" s="5">
        <v>1.413479052823315</v>
      </c>
      <c r="J225" s="5">
        <v>1.3954462659380693</v>
      </c>
      <c r="K225" s="5"/>
      <c r="L225" s="5"/>
      <c r="M225" s="5"/>
      <c r="N225" s="5"/>
      <c r="O225" s="5"/>
      <c r="P225" s="5"/>
      <c r="Q225" s="5"/>
      <c r="R225" s="20">
        <f t="shared" si="3"/>
        <v>8.4406193078324225</v>
      </c>
      <c r="S225" s="6"/>
    </row>
    <row r="226" spans="1:19" s="2" customFormat="1" ht="15">
      <c r="A226" s="4" t="s">
        <v>385</v>
      </c>
      <c r="B226" s="3" t="s">
        <v>450</v>
      </c>
      <c r="C226" s="4" t="s">
        <v>451</v>
      </c>
      <c r="D226" s="4">
        <v>6.73</v>
      </c>
      <c r="E226" s="29">
        <v>2014</v>
      </c>
      <c r="F226" s="5">
        <v>1.9583952451708764</v>
      </c>
      <c r="G226" s="5">
        <v>1.9209509658246655</v>
      </c>
      <c r="H226" s="5">
        <v>1.6989598811292717</v>
      </c>
      <c r="I226" s="5">
        <v>1.5548291233283804</v>
      </c>
      <c r="J226" s="5">
        <v>1.6301634472511144</v>
      </c>
      <c r="K226" s="5"/>
      <c r="L226" s="5"/>
      <c r="M226" s="5"/>
      <c r="N226" s="5"/>
      <c r="O226" s="5"/>
      <c r="P226" s="5"/>
      <c r="Q226" s="5"/>
      <c r="R226" s="20">
        <f t="shared" si="3"/>
        <v>8.7632986627043081</v>
      </c>
      <c r="S226" s="6"/>
    </row>
    <row r="227" spans="1:19" s="2" customFormat="1" ht="15">
      <c r="A227" s="4" t="s">
        <v>385</v>
      </c>
      <c r="B227" s="3" t="s">
        <v>452</v>
      </c>
      <c r="C227" s="4" t="s">
        <v>453</v>
      </c>
      <c r="D227" s="4">
        <v>5.87</v>
      </c>
      <c r="E227" s="29">
        <v>2014</v>
      </c>
      <c r="F227" s="5">
        <v>0.96098807495741045</v>
      </c>
      <c r="G227" s="5">
        <v>0.94633730834752972</v>
      </c>
      <c r="H227" s="5">
        <v>0.8407155025553662</v>
      </c>
      <c r="I227" s="5">
        <v>0.83645655877342417</v>
      </c>
      <c r="J227" s="5">
        <v>0.96933560477001701</v>
      </c>
      <c r="K227" s="5"/>
      <c r="L227" s="5"/>
      <c r="M227" s="5"/>
      <c r="N227" s="5"/>
      <c r="O227" s="5"/>
      <c r="P227" s="5"/>
      <c r="Q227" s="5"/>
      <c r="R227" s="20">
        <f t="shared" si="3"/>
        <v>4.5538330494037478</v>
      </c>
      <c r="S227" s="6"/>
    </row>
    <row r="228" spans="1:19" s="2" customFormat="1" ht="15">
      <c r="A228" s="4" t="s">
        <v>385</v>
      </c>
      <c r="B228" s="3" t="s">
        <v>454</v>
      </c>
      <c r="C228" s="4" t="s">
        <v>455</v>
      </c>
      <c r="D228" s="4">
        <v>19.739999999999998</v>
      </c>
      <c r="E228" s="29">
        <v>2014</v>
      </c>
      <c r="F228" s="5">
        <v>1.6122087132725433</v>
      </c>
      <c r="G228" s="5">
        <v>1.5675785207700104</v>
      </c>
      <c r="H228" s="5">
        <v>1.3824721377912867</v>
      </c>
      <c r="I228" s="5">
        <v>1.1271529888551166</v>
      </c>
      <c r="J228" s="5">
        <v>0.76489361702127667</v>
      </c>
      <c r="K228" s="5"/>
      <c r="L228" s="5"/>
      <c r="M228" s="5"/>
      <c r="N228" s="5"/>
      <c r="O228" s="5"/>
      <c r="P228" s="5"/>
      <c r="Q228" s="5"/>
      <c r="R228" s="20">
        <f t="shared" si="3"/>
        <v>6.4543059777102334</v>
      </c>
      <c r="S228" s="6"/>
    </row>
    <row r="229" spans="1:19" s="2" customFormat="1" ht="15">
      <c r="A229" s="4" t="s">
        <v>385</v>
      </c>
      <c r="B229" s="3" t="s">
        <v>456</v>
      </c>
      <c r="C229" s="4" t="s">
        <v>457</v>
      </c>
      <c r="D229" s="4">
        <v>18.73</v>
      </c>
      <c r="E229" s="29">
        <v>2014</v>
      </c>
      <c r="F229" s="5">
        <v>2.2120662039508807</v>
      </c>
      <c r="G229" s="5">
        <v>2.098718633208756</v>
      </c>
      <c r="H229" s="5">
        <v>1.7490122797650827</v>
      </c>
      <c r="I229" s="5">
        <v>1.4695141484249865</v>
      </c>
      <c r="J229" s="5">
        <v>0.90331019754404707</v>
      </c>
      <c r="K229" s="5"/>
      <c r="L229" s="5"/>
      <c r="M229" s="5"/>
      <c r="N229" s="5"/>
      <c r="O229" s="5"/>
      <c r="P229" s="5"/>
      <c r="Q229" s="5"/>
      <c r="R229" s="20">
        <f t="shared" si="3"/>
        <v>8.4326214628937528</v>
      </c>
      <c r="S229" s="6"/>
    </row>
    <row r="230" spans="1:19" s="2" customFormat="1" ht="15">
      <c r="A230" s="4" t="s">
        <v>385</v>
      </c>
      <c r="B230" s="3" t="s">
        <v>458</v>
      </c>
      <c r="C230" s="4" t="s">
        <v>459</v>
      </c>
      <c r="D230" s="4">
        <v>20.100000000000001</v>
      </c>
      <c r="E230" s="29">
        <v>2014</v>
      </c>
      <c r="F230" s="5">
        <v>1.3032338308457712</v>
      </c>
      <c r="G230" s="5">
        <v>1.3101990049751244</v>
      </c>
      <c r="H230" s="5">
        <v>1.2470646766169151</v>
      </c>
      <c r="I230" s="5">
        <v>1.0636815920398011</v>
      </c>
      <c r="J230" s="5">
        <v>0.59512437810945262</v>
      </c>
      <c r="K230" s="5"/>
      <c r="L230" s="5"/>
      <c r="M230" s="5"/>
      <c r="N230" s="5"/>
      <c r="O230" s="5"/>
      <c r="P230" s="5"/>
      <c r="Q230" s="5"/>
      <c r="R230" s="20">
        <f t="shared" si="3"/>
        <v>5.5193034825870644</v>
      </c>
      <c r="S230" s="6"/>
    </row>
    <row r="231" spans="1:19" s="2" customFormat="1" ht="15">
      <c r="A231" s="4" t="s">
        <v>385</v>
      </c>
      <c r="B231" s="3" t="s">
        <v>460</v>
      </c>
      <c r="C231" s="4" t="s">
        <v>461</v>
      </c>
      <c r="D231" s="4">
        <v>19.989999999999998</v>
      </c>
      <c r="E231" s="29">
        <v>2014</v>
      </c>
      <c r="F231" s="5">
        <v>1.9187093546773388</v>
      </c>
      <c r="G231" s="5">
        <v>1.8578289144572289</v>
      </c>
      <c r="H231" s="5">
        <v>1.6320660330165082</v>
      </c>
      <c r="I231" s="5">
        <v>1.3905452726363183</v>
      </c>
      <c r="J231" s="5">
        <v>0.83296648324162081</v>
      </c>
      <c r="K231" s="5"/>
      <c r="L231" s="5"/>
      <c r="M231" s="5"/>
      <c r="N231" s="5"/>
      <c r="O231" s="5"/>
      <c r="P231" s="5"/>
      <c r="Q231" s="5"/>
      <c r="R231" s="20">
        <f t="shared" si="3"/>
        <v>7.6321160580290153</v>
      </c>
      <c r="S231" s="6"/>
    </row>
    <row r="232" spans="1:19" s="2" customFormat="1" ht="15">
      <c r="A232" s="4" t="s">
        <v>385</v>
      </c>
      <c r="B232" s="3" t="s">
        <v>462</v>
      </c>
      <c r="C232" s="4" t="s">
        <v>463</v>
      </c>
      <c r="D232" s="4">
        <v>19.010000000000002</v>
      </c>
      <c r="E232" s="29">
        <v>2014</v>
      </c>
      <c r="F232" s="5">
        <v>1.9078905839032085</v>
      </c>
      <c r="G232" s="5">
        <v>1.8934771173066807</v>
      </c>
      <c r="H232" s="5">
        <v>1.5756443976854286</v>
      </c>
      <c r="I232" s="5">
        <v>1.3332456601788532</v>
      </c>
      <c r="J232" s="5">
        <v>0.80036822724881629</v>
      </c>
      <c r="K232" s="5"/>
      <c r="L232" s="5"/>
      <c r="M232" s="5"/>
      <c r="N232" s="5"/>
      <c r="O232" s="5"/>
      <c r="P232" s="5"/>
      <c r="Q232" s="5"/>
      <c r="R232" s="20">
        <f t="shared" si="3"/>
        <v>7.5106259863229869</v>
      </c>
      <c r="S232" s="6"/>
    </row>
    <row r="233" spans="1:19" s="2" customFormat="1" ht="15">
      <c r="A233" s="4" t="s">
        <v>385</v>
      </c>
      <c r="B233" s="3" t="s">
        <v>464</v>
      </c>
      <c r="C233" s="4" t="s">
        <v>465</v>
      </c>
      <c r="D233" s="4">
        <v>7.27</v>
      </c>
      <c r="E233" s="29">
        <v>2014</v>
      </c>
      <c r="F233" s="5">
        <v>2.2083906464924348</v>
      </c>
      <c r="G233" s="5">
        <v>2.6579092159559838</v>
      </c>
      <c r="H233" s="5">
        <v>2.1426409903713894</v>
      </c>
      <c r="I233" s="5">
        <v>1.5610729023383769</v>
      </c>
      <c r="J233" s="5">
        <v>2.1693259972489685</v>
      </c>
      <c r="K233" s="5"/>
      <c r="L233" s="5"/>
      <c r="M233" s="5"/>
      <c r="N233" s="5"/>
      <c r="O233" s="5"/>
      <c r="P233" s="5"/>
      <c r="Q233" s="5"/>
      <c r="R233" s="20">
        <f t="shared" si="3"/>
        <v>10.739339752407153</v>
      </c>
      <c r="S233" s="6"/>
    </row>
    <row r="234" spans="1:19" s="2" customFormat="1" ht="15">
      <c r="A234" s="4" t="s">
        <v>385</v>
      </c>
      <c r="B234" s="3" t="s">
        <v>466</v>
      </c>
      <c r="C234" s="4" t="s">
        <v>467</v>
      </c>
      <c r="D234" s="4">
        <v>16.05</v>
      </c>
      <c r="E234" s="29">
        <v>2015</v>
      </c>
      <c r="F234" s="5">
        <v>1.7438629283489098</v>
      </c>
      <c r="G234" s="5">
        <v>1.6803115264797506</v>
      </c>
      <c r="H234" s="5">
        <v>1.6421183800623054</v>
      </c>
      <c r="I234" s="5">
        <v>1.6219314641744547</v>
      </c>
      <c r="J234" s="5">
        <v>0.94018691588785042</v>
      </c>
      <c r="K234" s="5"/>
      <c r="L234" s="5"/>
      <c r="M234" s="5"/>
      <c r="N234" s="5"/>
      <c r="O234" s="5"/>
      <c r="P234" s="5"/>
      <c r="Q234" s="5"/>
      <c r="R234" s="20">
        <f t="shared" si="3"/>
        <v>7.628411214953271</v>
      </c>
      <c r="S234" s="6"/>
    </row>
    <row r="235" spans="1:19" s="2" customFormat="1" ht="15">
      <c r="A235" s="4" t="s">
        <v>385</v>
      </c>
      <c r="B235" s="3" t="s">
        <v>468</v>
      </c>
      <c r="C235" s="4" t="s">
        <v>469</v>
      </c>
      <c r="D235" s="4">
        <v>22.13</v>
      </c>
      <c r="E235" s="29">
        <v>2015</v>
      </c>
      <c r="F235" s="5">
        <v>1.4636240397650249</v>
      </c>
      <c r="G235" s="5">
        <v>1.4104383190239493</v>
      </c>
      <c r="H235" s="5">
        <v>1.4282873926796205</v>
      </c>
      <c r="I235" s="5">
        <v>1.2860370537731587</v>
      </c>
      <c r="J235" s="5">
        <v>0.78350655219159515</v>
      </c>
      <c r="K235" s="5"/>
      <c r="L235" s="5"/>
      <c r="M235" s="5"/>
      <c r="N235" s="5"/>
      <c r="O235" s="5"/>
      <c r="P235" s="5"/>
      <c r="Q235" s="5"/>
      <c r="R235" s="20">
        <f t="shared" si="3"/>
        <v>6.3718933574333487</v>
      </c>
      <c r="S235" s="6"/>
    </row>
    <row r="236" spans="1:19" s="2" customFormat="1" ht="15">
      <c r="A236" s="4" t="s">
        <v>385</v>
      </c>
      <c r="B236" s="3" t="s">
        <v>470</v>
      </c>
      <c r="C236" s="4" t="s">
        <v>471</v>
      </c>
      <c r="D236" s="4">
        <v>20.059999999999999</v>
      </c>
      <c r="E236" s="29">
        <v>2015</v>
      </c>
      <c r="F236" s="5">
        <v>1.8919242273180459</v>
      </c>
      <c r="G236" s="5">
        <v>1.9612163509471585</v>
      </c>
      <c r="H236" s="5">
        <v>1.7399302093718845</v>
      </c>
      <c r="I236" s="5">
        <v>1.5912263210368893</v>
      </c>
      <c r="J236" s="5">
        <v>0.90423728813559334</v>
      </c>
      <c r="K236" s="5"/>
      <c r="L236" s="5"/>
      <c r="M236" s="5"/>
      <c r="N236" s="5"/>
      <c r="O236" s="5"/>
      <c r="P236" s="5"/>
      <c r="Q236" s="5"/>
      <c r="R236" s="20">
        <f t="shared" si="3"/>
        <v>8.0885343968095711</v>
      </c>
      <c r="S236" s="6"/>
    </row>
    <row r="237" spans="1:19" s="2" customFormat="1" ht="15">
      <c r="A237" s="4" t="s">
        <v>385</v>
      </c>
      <c r="B237" s="3" t="s">
        <v>472</v>
      </c>
      <c r="C237" s="4" t="s">
        <v>473</v>
      </c>
      <c r="D237" s="4">
        <v>18.36</v>
      </c>
      <c r="E237" s="29">
        <v>2015</v>
      </c>
      <c r="F237" s="5">
        <v>1.9985838779956429</v>
      </c>
      <c r="G237" s="5">
        <v>1.8260893246187364</v>
      </c>
      <c r="H237" s="5">
        <v>1.9037037037037037</v>
      </c>
      <c r="I237" s="5">
        <v>1.6857843137254902</v>
      </c>
      <c r="J237" s="5">
        <v>1.0443355119825708</v>
      </c>
      <c r="K237" s="5"/>
      <c r="L237" s="5"/>
      <c r="M237" s="5"/>
      <c r="N237" s="5"/>
      <c r="O237" s="5"/>
      <c r="P237" s="5"/>
      <c r="Q237" s="5"/>
      <c r="R237" s="20">
        <f t="shared" si="3"/>
        <v>8.4584967320261431</v>
      </c>
      <c r="S237" s="6"/>
    </row>
    <row r="238" spans="1:19" s="2" customFormat="1" ht="15">
      <c r="A238" s="4" t="s">
        <v>385</v>
      </c>
      <c r="B238" s="3" t="s">
        <v>474</v>
      </c>
      <c r="C238" s="4" t="s">
        <v>475</v>
      </c>
      <c r="D238" s="4">
        <v>19.45</v>
      </c>
      <c r="E238" s="29">
        <v>2015</v>
      </c>
      <c r="F238" s="5">
        <v>1.7833419023136248</v>
      </c>
      <c r="G238" s="5">
        <v>1.9010282776349616</v>
      </c>
      <c r="H238" s="5">
        <v>1.9098714652956299</v>
      </c>
      <c r="I238" s="5">
        <v>1.6642159383033419</v>
      </c>
      <c r="J238" s="5">
        <v>0.95994858611825196</v>
      </c>
      <c r="K238" s="5"/>
      <c r="L238" s="5"/>
      <c r="M238" s="5"/>
      <c r="N238" s="5"/>
      <c r="O238" s="5"/>
      <c r="P238" s="5"/>
      <c r="Q238" s="5"/>
      <c r="R238" s="20">
        <f t="shared" si="3"/>
        <v>8.2184061696658102</v>
      </c>
      <c r="S238" s="6"/>
    </row>
    <row r="239" spans="1:19" s="2" customFormat="1" ht="15">
      <c r="A239" s="4" t="s">
        <v>385</v>
      </c>
      <c r="B239" s="3" t="s">
        <v>476</v>
      </c>
      <c r="C239" s="4" t="s">
        <v>477</v>
      </c>
      <c r="D239" s="4">
        <v>19.18</v>
      </c>
      <c r="E239" s="29">
        <v>2015</v>
      </c>
      <c r="F239" s="5">
        <v>1.9393639207507822</v>
      </c>
      <c r="G239" s="5">
        <v>1.8934827945776851</v>
      </c>
      <c r="H239" s="5">
        <v>1.882533889468196</v>
      </c>
      <c r="I239" s="5">
        <v>1.6734619395203338</v>
      </c>
      <c r="J239" s="5">
        <v>1.2721584984358707</v>
      </c>
      <c r="K239" s="5"/>
      <c r="L239" s="5"/>
      <c r="M239" s="5"/>
      <c r="N239" s="5"/>
      <c r="O239" s="5"/>
      <c r="P239" s="5"/>
      <c r="Q239" s="5"/>
      <c r="R239" s="20">
        <f t="shared" si="3"/>
        <v>8.6610010427528685</v>
      </c>
      <c r="S239" s="6"/>
    </row>
    <row r="240" spans="1:19" s="2" customFormat="1" ht="15">
      <c r="A240" s="4" t="s">
        <v>385</v>
      </c>
      <c r="B240" s="3" t="s">
        <v>478</v>
      </c>
      <c r="C240" s="4" t="s">
        <v>479</v>
      </c>
      <c r="D240" s="4">
        <v>5.1100000000000003</v>
      </c>
      <c r="E240" s="29">
        <v>2015</v>
      </c>
      <c r="F240" s="5">
        <v>2.460665362035225</v>
      </c>
      <c r="G240" s="5">
        <v>2.2487279843444226</v>
      </c>
      <c r="H240" s="5">
        <v>2.0397260273972604</v>
      </c>
      <c r="I240" s="5">
        <v>1.99119373776908</v>
      </c>
      <c r="J240" s="5">
        <v>1.2454011741682973</v>
      </c>
      <c r="K240" s="5"/>
      <c r="L240" s="5"/>
      <c r="M240" s="5"/>
      <c r="N240" s="5"/>
      <c r="O240" s="5"/>
      <c r="P240" s="5"/>
      <c r="Q240" s="5"/>
      <c r="R240" s="20">
        <f t="shared" si="3"/>
        <v>9.985714285714284</v>
      </c>
      <c r="S240" s="6"/>
    </row>
    <row r="241" spans="1:19" s="2" customFormat="1" ht="15">
      <c r="A241" s="4" t="s">
        <v>385</v>
      </c>
      <c r="B241" s="3" t="s">
        <v>480</v>
      </c>
      <c r="C241" s="4" t="s">
        <v>481</v>
      </c>
      <c r="D241" s="4">
        <v>4.21</v>
      </c>
      <c r="E241" s="29">
        <v>2015</v>
      </c>
      <c r="F241" s="5">
        <v>1.4947743467933492</v>
      </c>
      <c r="G241" s="5">
        <v>1.5016627078384797</v>
      </c>
      <c r="H241" s="5">
        <v>1.4095011876484562</v>
      </c>
      <c r="I241" s="5">
        <v>1.4061757719714965</v>
      </c>
      <c r="J241" s="5">
        <v>1.063895486935867</v>
      </c>
      <c r="K241" s="5"/>
      <c r="L241" s="5"/>
      <c r="M241" s="5"/>
      <c r="N241" s="5"/>
      <c r="O241" s="5"/>
      <c r="P241" s="5"/>
      <c r="Q241" s="5"/>
      <c r="R241" s="20">
        <f t="shared" si="3"/>
        <v>6.8760095011876494</v>
      </c>
      <c r="S241" s="6"/>
    </row>
    <row r="242" spans="1:19" s="2" customFormat="1" ht="15">
      <c r="A242" s="4" t="s">
        <v>385</v>
      </c>
      <c r="B242" s="3" t="s">
        <v>482</v>
      </c>
      <c r="C242" s="4" t="s">
        <v>483</v>
      </c>
      <c r="D242" s="4">
        <v>8.1199999999999992</v>
      </c>
      <c r="E242" s="29">
        <v>2015</v>
      </c>
      <c r="F242" s="5">
        <v>1.5417487684729065</v>
      </c>
      <c r="G242" s="5">
        <v>1.6864532019704437</v>
      </c>
      <c r="H242" s="5">
        <v>1.4557881773399017</v>
      </c>
      <c r="I242" s="5">
        <v>1.3213054187192119</v>
      </c>
      <c r="J242" s="5">
        <v>0.88386699507389177</v>
      </c>
      <c r="K242" s="5"/>
      <c r="L242" s="5"/>
      <c r="M242" s="5"/>
      <c r="N242" s="5"/>
      <c r="O242" s="5"/>
      <c r="P242" s="5"/>
      <c r="Q242" s="5"/>
      <c r="R242" s="20">
        <f t="shared" si="3"/>
        <v>6.8891625615763559</v>
      </c>
      <c r="S242" s="6"/>
    </row>
    <row r="243" spans="1:19" s="2" customFormat="1" ht="15">
      <c r="A243" s="4" t="s">
        <v>385</v>
      </c>
      <c r="B243" s="3" t="s">
        <v>484</v>
      </c>
      <c r="C243" s="4" t="s">
        <v>485</v>
      </c>
      <c r="D243" s="4">
        <v>22.68</v>
      </c>
      <c r="E243" s="29">
        <v>2015</v>
      </c>
      <c r="F243" s="5">
        <v>1.7459435626102293</v>
      </c>
      <c r="G243" s="5">
        <v>1.8549823633156965</v>
      </c>
      <c r="H243" s="5">
        <v>1.5085097001763668</v>
      </c>
      <c r="I243" s="5">
        <v>1.6242063492063492</v>
      </c>
      <c r="J243" s="5">
        <v>1.1116402116402115</v>
      </c>
      <c r="K243" s="5"/>
      <c r="L243" s="5"/>
      <c r="M243" s="5"/>
      <c r="N243" s="5"/>
      <c r="O243" s="5"/>
      <c r="P243" s="5"/>
      <c r="Q243" s="5"/>
      <c r="R243" s="20">
        <f t="shared" si="3"/>
        <v>7.8452821869488538</v>
      </c>
      <c r="S243" s="6"/>
    </row>
    <row r="244" spans="1:19" s="2" customFormat="1" ht="15">
      <c r="A244" s="4" t="s">
        <v>385</v>
      </c>
      <c r="B244" s="3" t="s">
        <v>486</v>
      </c>
      <c r="C244" s="4" t="s">
        <v>487</v>
      </c>
      <c r="D244" s="4">
        <v>2.17</v>
      </c>
      <c r="E244" s="29">
        <v>2014</v>
      </c>
      <c r="F244" s="5">
        <v>1.5769585253456222</v>
      </c>
      <c r="G244" s="5">
        <v>2.044700460829493</v>
      </c>
      <c r="H244" s="5">
        <v>1.3092165898617512</v>
      </c>
      <c r="I244" s="5">
        <v>0.9285714285714286</v>
      </c>
      <c r="J244" s="5">
        <v>0.91566820276497696</v>
      </c>
      <c r="K244" s="5"/>
      <c r="L244" s="5"/>
      <c r="M244" s="5"/>
      <c r="N244" s="5"/>
      <c r="O244" s="5"/>
      <c r="P244" s="5"/>
      <c r="Q244" s="5"/>
      <c r="R244" s="20">
        <f t="shared" si="3"/>
        <v>6.7751152073732719</v>
      </c>
      <c r="S244" s="6"/>
    </row>
    <row r="245" spans="1:19" s="2" customFormat="1" ht="15">
      <c r="A245" s="4" t="s">
        <v>385</v>
      </c>
      <c r="B245" s="3" t="s">
        <v>488</v>
      </c>
      <c r="C245" s="4" t="s">
        <v>479</v>
      </c>
      <c r="D245" s="4">
        <v>3.38</v>
      </c>
      <c r="E245" s="29">
        <v>2021</v>
      </c>
      <c r="F245" s="5">
        <v>1.9260355029585798</v>
      </c>
      <c r="G245" s="5">
        <v>3.4224852071005918</v>
      </c>
      <c r="H245" s="5">
        <v>3.3215976331360948</v>
      </c>
      <c r="I245" s="5">
        <v>2.779585798816568</v>
      </c>
      <c r="J245" s="5">
        <v>1.9517751479289942</v>
      </c>
      <c r="K245" s="5"/>
      <c r="L245" s="5"/>
      <c r="M245" s="5"/>
      <c r="N245" s="5"/>
      <c r="O245" s="5"/>
      <c r="P245" s="5"/>
      <c r="Q245" s="5"/>
      <c r="R245" s="20">
        <f t="shared" si="3"/>
        <v>13.401479289940829</v>
      </c>
      <c r="S245" s="6"/>
    </row>
    <row r="246" spans="1:19" s="2" customFormat="1" ht="15">
      <c r="A246" s="4" t="s">
        <v>385</v>
      </c>
      <c r="B246" s="3" t="s">
        <v>489</v>
      </c>
      <c r="C246" s="4" t="s">
        <v>479</v>
      </c>
      <c r="D246" s="4">
        <v>13.47</v>
      </c>
      <c r="E246" s="29">
        <v>2022</v>
      </c>
      <c r="F246" s="5">
        <v>0.39866369710467703</v>
      </c>
      <c r="G246" s="5">
        <v>0.31937639198218259</v>
      </c>
      <c r="H246" s="5">
        <v>0.20816629547141796</v>
      </c>
      <c r="I246" s="5">
        <v>0.23118040089086858</v>
      </c>
      <c r="J246" s="5">
        <v>0.19420935412026724</v>
      </c>
      <c r="K246" s="5"/>
      <c r="L246" s="5"/>
      <c r="M246" s="5"/>
      <c r="N246" s="5"/>
      <c r="O246" s="5"/>
      <c r="P246" s="5"/>
      <c r="Q246" s="5"/>
      <c r="R246" s="20">
        <f t="shared" si="3"/>
        <v>1.3515961395694134</v>
      </c>
      <c r="S246" s="6"/>
    </row>
    <row r="247" spans="1:19" s="2" customFormat="1" ht="15">
      <c r="A247" s="4" t="s">
        <v>385</v>
      </c>
      <c r="B247" s="3" t="s">
        <v>490</v>
      </c>
      <c r="C247" s="4" t="s">
        <v>483</v>
      </c>
      <c r="D247" s="4">
        <v>11.31</v>
      </c>
      <c r="E247" s="29">
        <v>2023</v>
      </c>
      <c r="F247" s="5">
        <v>0</v>
      </c>
      <c r="G247" s="5">
        <v>0</v>
      </c>
      <c r="H247" s="5">
        <v>0.25791335101679924</v>
      </c>
      <c r="I247" s="5">
        <v>0.10495137046861185</v>
      </c>
      <c r="J247" s="5">
        <v>0.16047745358090185</v>
      </c>
      <c r="K247" s="5"/>
      <c r="L247" s="5"/>
      <c r="M247" s="5"/>
      <c r="N247" s="5"/>
      <c r="O247" s="5"/>
      <c r="P247" s="5"/>
      <c r="Q247" s="5"/>
      <c r="R247" s="20">
        <f t="shared" si="3"/>
        <v>0.52334217506631298</v>
      </c>
      <c r="S247" s="6"/>
    </row>
    <row r="248" spans="1:19" s="2" customFormat="1" ht="15">
      <c r="A248" s="4" t="s">
        <v>385</v>
      </c>
      <c r="B248" s="3" t="s">
        <v>491</v>
      </c>
      <c r="C248" s="4" t="s">
        <v>481</v>
      </c>
      <c r="D248" s="4">
        <v>14.98</v>
      </c>
      <c r="E248" s="29">
        <v>2023</v>
      </c>
      <c r="F248" s="5">
        <v>0</v>
      </c>
      <c r="G248" s="5">
        <v>0</v>
      </c>
      <c r="H248" s="5">
        <v>3.4712950600801068E-3</v>
      </c>
      <c r="I248" s="5">
        <v>8.4779706275033371E-3</v>
      </c>
      <c r="J248" s="5">
        <v>0.12837116154873163</v>
      </c>
      <c r="K248" s="5"/>
      <c r="L248" s="5"/>
      <c r="M248" s="5"/>
      <c r="N248" s="5"/>
      <c r="O248" s="5"/>
      <c r="P248" s="5"/>
      <c r="Q248" s="5"/>
      <c r="R248" s="20">
        <f t="shared" si="3"/>
        <v>0.14032042723631508</v>
      </c>
      <c r="S248" s="6"/>
    </row>
    <row r="249" spans="1:19" s="2" customFormat="1" ht="15">
      <c r="A249" s="4" t="s">
        <v>492</v>
      </c>
      <c r="B249" s="3" t="s">
        <v>493</v>
      </c>
      <c r="C249" s="4" t="s">
        <v>494</v>
      </c>
      <c r="D249" s="4">
        <v>1.45</v>
      </c>
      <c r="E249" s="29">
        <v>2022</v>
      </c>
      <c r="F249" s="5">
        <v>0.61310344827586205</v>
      </c>
      <c r="G249" s="5">
        <v>1.0572413793103448</v>
      </c>
      <c r="H249" s="5">
        <v>1.4220689655172414</v>
      </c>
      <c r="I249" s="5">
        <v>0.76827586206896559</v>
      </c>
      <c r="J249" s="5">
        <v>0.89862068965517239</v>
      </c>
      <c r="K249" s="5"/>
      <c r="L249" s="5"/>
      <c r="M249" s="5"/>
      <c r="N249" s="5"/>
      <c r="O249" s="5"/>
      <c r="P249" s="5"/>
      <c r="Q249" s="5"/>
      <c r="R249" s="20">
        <f t="shared" si="3"/>
        <v>4.7593103448275862</v>
      </c>
      <c r="S249" s="6"/>
    </row>
    <row r="250" spans="1:19" s="2" customFormat="1" ht="15">
      <c r="A250" s="4" t="s">
        <v>492</v>
      </c>
      <c r="B250" s="3" t="s">
        <v>495</v>
      </c>
      <c r="C250" s="4" t="s">
        <v>496</v>
      </c>
      <c r="D250" s="4">
        <v>18.670000000000002</v>
      </c>
      <c r="E250" s="29">
        <v>2022</v>
      </c>
      <c r="F250" s="5">
        <v>1.1809319764327797</v>
      </c>
      <c r="G250" s="5">
        <v>0.83690412426352434</v>
      </c>
      <c r="H250" s="5">
        <v>1.0527584359935724</v>
      </c>
      <c r="I250" s="5">
        <v>1.2998393144081413</v>
      </c>
      <c r="J250" s="5">
        <v>0.90653454740224948</v>
      </c>
      <c r="K250" s="5"/>
      <c r="L250" s="5"/>
      <c r="M250" s="5"/>
      <c r="N250" s="5"/>
      <c r="O250" s="5"/>
      <c r="P250" s="5"/>
      <c r="Q250" s="5"/>
      <c r="R250" s="20">
        <f t="shared" si="3"/>
        <v>5.2769683985002667</v>
      </c>
      <c r="S250" s="6"/>
    </row>
    <row r="251" spans="1:19" s="2" customFormat="1" ht="15">
      <c r="A251" s="4" t="s">
        <v>492</v>
      </c>
      <c r="B251" s="3" t="s">
        <v>497</v>
      </c>
      <c r="C251" s="4" t="s">
        <v>498</v>
      </c>
      <c r="D251" s="4">
        <v>19.27</v>
      </c>
      <c r="E251" s="29">
        <v>2023</v>
      </c>
      <c r="F251" s="5">
        <v>0</v>
      </c>
      <c r="G251" s="5">
        <v>0</v>
      </c>
      <c r="H251" s="5">
        <v>0</v>
      </c>
      <c r="I251" s="5">
        <v>7.9501816294758693E-2</v>
      </c>
      <c r="J251" s="5">
        <v>0.25381421899325379</v>
      </c>
      <c r="K251" s="5"/>
      <c r="L251" s="5"/>
      <c r="M251" s="5"/>
      <c r="N251" s="5"/>
      <c r="O251" s="5"/>
      <c r="P251" s="5"/>
      <c r="Q251" s="5"/>
      <c r="R251" s="20">
        <f t="shared" si="3"/>
        <v>0.33331603528801246</v>
      </c>
      <c r="S251" s="6"/>
    </row>
    <row r="252" spans="1:19" s="2" customFormat="1" ht="15">
      <c r="A252" s="4" t="s">
        <v>492</v>
      </c>
      <c r="B252" s="3" t="s">
        <v>499</v>
      </c>
      <c r="C252" s="4" t="s">
        <v>500</v>
      </c>
      <c r="D252" s="4">
        <v>19.02</v>
      </c>
      <c r="E252" s="29">
        <v>2023</v>
      </c>
      <c r="F252" s="5">
        <v>0</v>
      </c>
      <c r="G252" s="5">
        <v>0</v>
      </c>
      <c r="H252" s="5">
        <v>0</v>
      </c>
      <c r="I252" s="5">
        <v>4.1535226077812825E-3</v>
      </c>
      <c r="J252" s="5">
        <v>0.11887486855941115</v>
      </c>
      <c r="K252" s="5"/>
      <c r="L252" s="5"/>
      <c r="M252" s="5"/>
      <c r="N252" s="5"/>
      <c r="O252" s="5"/>
      <c r="P252" s="5"/>
      <c r="Q252" s="5"/>
      <c r="R252" s="20">
        <f t="shared" si="3"/>
        <v>0.12302839116719243</v>
      </c>
      <c r="S252" s="6"/>
    </row>
    <row r="253" spans="1:19" s="2" customFormat="1" ht="15">
      <c r="A253" s="4" t="s">
        <v>492</v>
      </c>
      <c r="B253" s="3" t="s">
        <v>501</v>
      </c>
      <c r="C253" s="4" t="s">
        <v>502</v>
      </c>
      <c r="D253" s="4">
        <v>18.45</v>
      </c>
      <c r="E253" s="29">
        <v>2023</v>
      </c>
      <c r="F253" s="5">
        <v>0</v>
      </c>
      <c r="G253" s="5">
        <v>0</v>
      </c>
      <c r="H253" s="5">
        <v>0</v>
      </c>
      <c r="I253" s="5">
        <v>1.8428184281842818E-3</v>
      </c>
      <c r="J253" s="5">
        <v>5.2032520325203252E-2</v>
      </c>
      <c r="K253" s="5"/>
      <c r="L253" s="5"/>
      <c r="M253" s="5"/>
      <c r="N253" s="5"/>
      <c r="O253" s="5"/>
      <c r="P253" s="5"/>
      <c r="Q253" s="5"/>
      <c r="R253" s="20">
        <f t="shared" si="3"/>
        <v>5.3875338753387535E-2</v>
      </c>
      <c r="S253" s="6"/>
    </row>
    <row r="254" spans="1:19" s="2" customFormat="1" ht="15">
      <c r="A254" s="4" t="s">
        <v>492</v>
      </c>
      <c r="B254" s="3" t="s">
        <v>503</v>
      </c>
      <c r="C254" s="4" t="s">
        <v>504</v>
      </c>
      <c r="D254" s="4">
        <v>18.8</v>
      </c>
      <c r="E254" s="29">
        <v>2023</v>
      </c>
      <c r="F254" s="5">
        <v>0</v>
      </c>
      <c r="G254" s="5">
        <v>0</v>
      </c>
      <c r="H254" s="5">
        <v>0</v>
      </c>
      <c r="I254" s="5">
        <v>0</v>
      </c>
      <c r="J254" s="5">
        <v>8.7765957446808499E-3</v>
      </c>
      <c r="K254" s="5"/>
      <c r="L254" s="5"/>
      <c r="M254" s="5"/>
      <c r="N254" s="5"/>
      <c r="O254" s="5"/>
      <c r="P254" s="5"/>
      <c r="Q254" s="5"/>
      <c r="R254" s="20">
        <f t="shared" si="3"/>
        <v>8.7765957446808499E-3</v>
      </c>
      <c r="S254" s="6"/>
    </row>
    <row r="255" spans="1:19" s="2" customFormat="1" ht="15">
      <c r="A255" s="4" t="s">
        <v>492</v>
      </c>
      <c r="B255" s="3" t="s">
        <v>505</v>
      </c>
      <c r="C255" s="4" t="s">
        <v>506</v>
      </c>
      <c r="D255" s="4">
        <v>19.600000000000001</v>
      </c>
      <c r="E255" s="29">
        <v>2023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/>
      <c r="L255" s="5"/>
      <c r="M255" s="5"/>
      <c r="N255" s="5"/>
      <c r="O255" s="5"/>
      <c r="P255" s="5"/>
      <c r="Q255" s="5"/>
      <c r="R255" s="20">
        <f t="shared" si="3"/>
        <v>0</v>
      </c>
      <c r="S255" s="6"/>
    </row>
    <row r="256" spans="1:19" s="2" customFormat="1" ht="15">
      <c r="A256" s="4" t="s">
        <v>492</v>
      </c>
      <c r="B256" s="3" t="s">
        <v>507</v>
      </c>
      <c r="C256" s="4" t="s">
        <v>508</v>
      </c>
      <c r="D256" s="4">
        <v>19.34</v>
      </c>
      <c r="E256" s="29">
        <v>2023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/>
      <c r="L256" s="5"/>
      <c r="M256" s="5"/>
      <c r="N256" s="5"/>
      <c r="O256" s="5"/>
      <c r="P256" s="5"/>
      <c r="Q256" s="5"/>
      <c r="R256" s="20">
        <f t="shared" si="3"/>
        <v>0</v>
      </c>
      <c r="S256" s="6"/>
    </row>
    <row r="257" spans="1:19" s="2" customFormat="1" ht="15">
      <c r="A257" s="4" t="s">
        <v>492</v>
      </c>
      <c r="B257" s="3" t="s">
        <v>509</v>
      </c>
      <c r="C257" s="4" t="s">
        <v>510</v>
      </c>
      <c r="D257" s="4">
        <v>17.34</v>
      </c>
      <c r="E257" s="29">
        <v>2023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/>
      <c r="L257" s="5"/>
      <c r="M257" s="5"/>
      <c r="N257" s="5"/>
      <c r="O257" s="5"/>
      <c r="P257" s="5"/>
      <c r="Q257" s="5"/>
      <c r="R257" s="20">
        <f t="shared" si="3"/>
        <v>0</v>
      </c>
      <c r="S257" s="6"/>
    </row>
    <row r="258" spans="1:19" s="2" customFormat="1" ht="15">
      <c r="A258" s="4" t="s">
        <v>492</v>
      </c>
      <c r="B258" s="3" t="s">
        <v>511</v>
      </c>
      <c r="C258" s="4" t="s">
        <v>512</v>
      </c>
      <c r="D258" s="4">
        <v>13.29</v>
      </c>
      <c r="E258" s="29">
        <v>2023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/>
      <c r="L258" s="5"/>
      <c r="M258" s="5"/>
      <c r="N258" s="5"/>
      <c r="O258" s="5"/>
      <c r="P258" s="5"/>
      <c r="Q258" s="5"/>
      <c r="R258" s="20">
        <f t="shared" si="3"/>
        <v>0</v>
      </c>
      <c r="S258" s="6"/>
    </row>
    <row r="259" spans="1:19" s="2" customFormat="1" ht="15">
      <c r="A259" s="4" t="s">
        <v>492</v>
      </c>
      <c r="B259" s="3" t="s">
        <v>513</v>
      </c>
      <c r="C259" s="4" t="s">
        <v>514</v>
      </c>
      <c r="D259" s="4">
        <v>10.130000000000001</v>
      </c>
      <c r="E259" s="29">
        <v>2023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/>
      <c r="L259" s="5"/>
      <c r="M259" s="5"/>
      <c r="N259" s="5"/>
      <c r="O259" s="5"/>
      <c r="P259" s="5"/>
      <c r="Q259" s="5"/>
      <c r="R259" s="20">
        <f t="shared" ref="R259:R284" si="4">SUM(F259:Q259)</f>
        <v>0</v>
      </c>
      <c r="S259" s="6"/>
    </row>
    <row r="260" spans="1:19" s="2" customFormat="1" ht="15">
      <c r="A260" s="4" t="s">
        <v>492</v>
      </c>
      <c r="B260" s="3" t="s">
        <v>515</v>
      </c>
      <c r="C260" s="4" t="s">
        <v>516</v>
      </c>
      <c r="D260" s="4">
        <v>7.46</v>
      </c>
      <c r="E260" s="29">
        <v>2023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/>
      <c r="L260" s="5"/>
      <c r="M260" s="5"/>
      <c r="N260" s="5"/>
      <c r="O260" s="5"/>
      <c r="P260" s="5"/>
      <c r="Q260" s="5"/>
      <c r="R260" s="20">
        <f t="shared" si="4"/>
        <v>0</v>
      </c>
      <c r="S260" s="6"/>
    </row>
    <row r="261" spans="1:19" s="2" customFormat="1" ht="15">
      <c r="A261" s="4" t="s">
        <v>492</v>
      </c>
      <c r="B261" s="3" t="s">
        <v>517</v>
      </c>
      <c r="C261" s="4" t="s">
        <v>518</v>
      </c>
      <c r="D261" s="4">
        <v>1.33</v>
      </c>
      <c r="E261" s="29">
        <v>2024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/>
      <c r="L261" s="5"/>
      <c r="M261" s="5"/>
      <c r="N261" s="5"/>
      <c r="O261" s="5"/>
      <c r="P261" s="5"/>
      <c r="Q261" s="5"/>
      <c r="R261" s="20">
        <f t="shared" si="4"/>
        <v>0</v>
      </c>
      <c r="S261" s="6"/>
    </row>
    <row r="262" spans="1:19" s="2" customFormat="1" ht="15">
      <c r="A262" s="4" t="s">
        <v>492</v>
      </c>
      <c r="B262" s="3" t="s">
        <v>519</v>
      </c>
      <c r="C262" s="4" t="s">
        <v>520</v>
      </c>
      <c r="D262" s="4">
        <v>9.07</v>
      </c>
      <c r="E262" s="29">
        <v>2023</v>
      </c>
      <c r="F262" s="5">
        <v>0</v>
      </c>
      <c r="G262" s="5">
        <v>0</v>
      </c>
      <c r="H262" s="5">
        <v>0</v>
      </c>
      <c r="I262" s="5">
        <v>1.091510474090408E-2</v>
      </c>
      <c r="J262" s="5">
        <v>0.14332965821389196</v>
      </c>
      <c r="K262" s="5"/>
      <c r="L262" s="5"/>
      <c r="M262" s="5"/>
      <c r="N262" s="5"/>
      <c r="O262" s="5"/>
      <c r="P262" s="5"/>
      <c r="Q262" s="5"/>
      <c r="R262" s="20">
        <f t="shared" si="4"/>
        <v>0.15424476295479603</v>
      </c>
      <c r="S262" s="6"/>
    </row>
    <row r="263" spans="1:19" s="2" customFormat="1" ht="15">
      <c r="A263" s="4" t="s">
        <v>492</v>
      </c>
      <c r="B263" s="3" t="s">
        <v>521</v>
      </c>
      <c r="C263" s="4" t="s">
        <v>522</v>
      </c>
      <c r="D263" s="4">
        <v>0.5</v>
      </c>
      <c r="E263" s="29">
        <v>2022</v>
      </c>
      <c r="F263" s="5">
        <v>1.1739999999999999</v>
      </c>
      <c r="G263" s="5">
        <v>1.0960000000000001</v>
      </c>
      <c r="H263" s="5">
        <v>1.49</v>
      </c>
      <c r="I263" s="5">
        <v>2.6480000000000001</v>
      </c>
      <c r="J263" s="5">
        <v>0.83399999999999996</v>
      </c>
      <c r="K263" s="5"/>
      <c r="L263" s="5"/>
      <c r="M263" s="5"/>
      <c r="N263" s="5"/>
      <c r="O263" s="5"/>
      <c r="P263" s="5"/>
      <c r="Q263" s="5"/>
      <c r="R263" s="20">
        <f t="shared" si="4"/>
        <v>7.2419999999999991</v>
      </c>
      <c r="S263" s="6"/>
    </row>
    <row r="264" spans="1:19" s="2" customFormat="1" ht="15">
      <c r="A264" s="4" t="s">
        <v>492</v>
      </c>
      <c r="B264" s="3" t="s">
        <v>523</v>
      </c>
      <c r="C264" s="4" t="s">
        <v>524</v>
      </c>
      <c r="D264" s="4">
        <v>2.0299999999999998</v>
      </c>
      <c r="E264" s="29">
        <v>2022</v>
      </c>
      <c r="F264" s="5">
        <v>0.80935960591133016</v>
      </c>
      <c r="G264" s="5">
        <v>0.89458128078817745</v>
      </c>
      <c r="H264" s="5">
        <v>1.1418719211822661</v>
      </c>
      <c r="I264" s="5">
        <v>1.3871921182266012</v>
      </c>
      <c r="J264" s="5">
        <v>0.50689655172413794</v>
      </c>
      <c r="K264" s="5"/>
      <c r="L264" s="5"/>
      <c r="M264" s="5"/>
      <c r="N264" s="5"/>
      <c r="O264" s="5"/>
      <c r="P264" s="5"/>
      <c r="Q264" s="5"/>
      <c r="R264" s="20">
        <f t="shared" si="4"/>
        <v>4.7399014778325128</v>
      </c>
      <c r="S264" s="6"/>
    </row>
    <row r="265" spans="1:19" s="2" customFormat="1" ht="15">
      <c r="A265" s="4" t="s">
        <v>492</v>
      </c>
      <c r="B265" s="3" t="s">
        <v>525</v>
      </c>
      <c r="C265" s="4" t="s">
        <v>526</v>
      </c>
      <c r="D265" s="4">
        <v>5.58</v>
      </c>
      <c r="E265" s="29">
        <v>2022</v>
      </c>
      <c r="F265" s="5">
        <v>1.35752688172043</v>
      </c>
      <c r="G265" s="5">
        <v>0.62186379928315405</v>
      </c>
      <c r="H265" s="5">
        <v>0.92437275985663081</v>
      </c>
      <c r="I265" s="5">
        <v>1.0661290322580643</v>
      </c>
      <c r="J265" s="5">
        <v>0.49103942652329752</v>
      </c>
      <c r="K265" s="5"/>
      <c r="L265" s="5"/>
      <c r="M265" s="5"/>
      <c r="N265" s="5"/>
      <c r="O265" s="5"/>
      <c r="P265" s="5"/>
      <c r="Q265" s="5"/>
      <c r="R265" s="20">
        <f t="shared" si="4"/>
        <v>4.4609318996415768</v>
      </c>
      <c r="S265" s="6"/>
    </row>
    <row r="266" spans="1:19" s="2" customFormat="1" ht="15">
      <c r="A266" s="4" t="s">
        <v>492</v>
      </c>
      <c r="B266" s="3" t="s">
        <v>527</v>
      </c>
      <c r="C266" s="4" t="s">
        <v>528</v>
      </c>
      <c r="D266" s="4">
        <v>16.440000000000001</v>
      </c>
      <c r="E266" s="29">
        <v>2023</v>
      </c>
      <c r="F266" s="5">
        <v>1.0266423357664232</v>
      </c>
      <c r="G266" s="5">
        <v>0.80547445255474448</v>
      </c>
      <c r="H266" s="5">
        <v>0.94665450121654504</v>
      </c>
      <c r="I266" s="5">
        <v>1.1330900243309001</v>
      </c>
      <c r="J266" s="5">
        <v>0.65778588807785887</v>
      </c>
      <c r="K266" s="5"/>
      <c r="L266" s="5"/>
      <c r="M266" s="5"/>
      <c r="N266" s="5"/>
      <c r="O266" s="5"/>
      <c r="P266" s="5"/>
      <c r="Q266" s="5"/>
      <c r="R266" s="20">
        <f t="shared" si="4"/>
        <v>4.5696472019464718</v>
      </c>
      <c r="S266" s="6"/>
    </row>
    <row r="267" spans="1:19" s="2" customFormat="1" ht="15">
      <c r="A267" s="4" t="s">
        <v>492</v>
      </c>
      <c r="B267" s="3" t="s">
        <v>529</v>
      </c>
      <c r="C267" s="4" t="s">
        <v>530</v>
      </c>
      <c r="D267" s="4">
        <v>19.12</v>
      </c>
      <c r="E267" s="29">
        <v>2023</v>
      </c>
      <c r="F267" s="5">
        <v>0.4941422594142259</v>
      </c>
      <c r="G267" s="5">
        <v>0.61705020920502096</v>
      </c>
      <c r="H267" s="5">
        <v>0.45193514644351462</v>
      </c>
      <c r="I267" s="5">
        <v>0.4904811715481171</v>
      </c>
      <c r="J267" s="5">
        <v>0.39142259414225944</v>
      </c>
      <c r="K267" s="5"/>
      <c r="L267" s="5"/>
      <c r="M267" s="5"/>
      <c r="N267" s="5"/>
      <c r="O267" s="5"/>
      <c r="P267" s="5"/>
      <c r="Q267" s="5"/>
      <c r="R267" s="20">
        <f t="shared" si="4"/>
        <v>2.4450313807531381</v>
      </c>
      <c r="S267" s="6"/>
    </row>
    <row r="268" spans="1:19" s="2" customFormat="1" ht="15">
      <c r="A268" s="4" t="s">
        <v>492</v>
      </c>
      <c r="B268" s="3" t="s">
        <v>531</v>
      </c>
      <c r="C268" s="4" t="s">
        <v>532</v>
      </c>
      <c r="D268" s="4">
        <v>18.53</v>
      </c>
      <c r="E268" s="29">
        <v>2022</v>
      </c>
      <c r="F268" s="5">
        <v>0.51705342687533717</v>
      </c>
      <c r="G268" s="5">
        <v>1.2249325418240689</v>
      </c>
      <c r="H268" s="5">
        <v>0.92342147868321633</v>
      </c>
      <c r="I268" s="5">
        <v>0.90205072854829993</v>
      </c>
      <c r="J268" s="5">
        <v>0.74209390178089574</v>
      </c>
      <c r="K268" s="5"/>
      <c r="L268" s="5"/>
      <c r="M268" s="5"/>
      <c r="N268" s="5"/>
      <c r="O268" s="5"/>
      <c r="P268" s="5"/>
      <c r="Q268" s="5"/>
      <c r="R268" s="20">
        <f t="shared" si="4"/>
        <v>4.3095520777118184</v>
      </c>
      <c r="S268" s="6"/>
    </row>
    <row r="269" spans="1:19" s="2" customFormat="1" ht="15">
      <c r="A269" s="4" t="s">
        <v>492</v>
      </c>
      <c r="B269" s="3" t="s">
        <v>533</v>
      </c>
      <c r="C269" s="4" t="s">
        <v>534</v>
      </c>
      <c r="D269" s="4">
        <v>18.170000000000002</v>
      </c>
      <c r="E269" s="29">
        <v>2022</v>
      </c>
      <c r="F269" s="5">
        <v>0.69977985690698952</v>
      </c>
      <c r="G269" s="5">
        <v>0.65145844799119423</v>
      </c>
      <c r="H269" s="5">
        <v>0.91293340671436418</v>
      </c>
      <c r="I269" s="5">
        <v>0.71860209135938347</v>
      </c>
      <c r="J269" s="5">
        <v>0.70583379196477702</v>
      </c>
      <c r="K269" s="5"/>
      <c r="L269" s="5"/>
      <c r="M269" s="5"/>
      <c r="N269" s="5"/>
      <c r="O269" s="5"/>
      <c r="P269" s="5"/>
      <c r="Q269" s="5"/>
      <c r="R269" s="20">
        <f t="shared" si="4"/>
        <v>3.6886075949367081</v>
      </c>
      <c r="S269" s="6"/>
    </row>
    <row r="270" spans="1:19" s="2" customFormat="1" ht="15">
      <c r="A270" s="4" t="s">
        <v>492</v>
      </c>
      <c r="B270" s="3" t="s">
        <v>535</v>
      </c>
      <c r="C270" s="4" t="s">
        <v>536</v>
      </c>
      <c r="D270" s="4">
        <v>19.91</v>
      </c>
      <c r="E270" s="29">
        <v>2023</v>
      </c>
      <c r="F270" s="5">
        <v>4.3194374686087392E-3</v>
      </c>
      <c r="G270" s="5">
        <v>9.7086891009542944E-2</v>
      </c>
      <c r="H270" s="5">
        <v>0.35203415369161223</v>
      </c>
      <c r="I270" s="5">
        <v>0.17965846308387745</v>
      </c>
      <c r="J270" s="5">
        <v>0.25188347564038172</v>
      </c>
      <c r="K270" s="5"/>
      <c r="L270" s="5"/>
      <c r="M270" s="5"/>
      <c r="N270" s="5"/>
      <c r="O270" s="5"/>
      <c r="P270" s="5"/>
      <c r="Q270" s="5"/>
      <c r="R270" s="20">
        <f t="shared" si="4"/>
        <v>0.88498242089402301</v>
      </c>
      <c r="S270" s="6"/>
    </row>
    <row r="271" spans="1:19" s="2" customFormat="1" ht="15">
      <c r="A271" s="4" t="s">
        <v>492</v>
      </c>
      <c r="B271" s="3" t="s">
        <v>537</v>
      </c>
      <c r="C271" s="4" t="s">
        <v>538</v>
      </c>
      <c r="D271" s="4">
        <v>18.739999999999998</v>
      </c>
      <c r="E271" s="29">
        <v>2023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/>
      <c r="L271" s="5"/>
      <c r="M271" s="5"/>
      <c r="N271" s="5"/>
      <c r="O271" s="5"/>
      <c r="P271" s="5"/>
      <c r="Q271" s="5"/>
      <c r="R271" s="20">
        <f t="shared" si="4"/>
        <v>0</v>
      </c>
      <c r="S271" s="6"/>
    </row>
    <row r="272" spans="1:19" s="2" customFormat="1" ht="15">
      <c r="A272" s="4" t="s">
        <v>492</v>
      </c>
      <c r="B272" s="3" t="s">
        <v>539</v>
      </c>
      <c r="C272" s="4" t="s">
        <v>540</v>
      </c>
      <c r="D272" s="4">
        <v>18.75</v>
      </c>
      <c r="E272" s="29">
        <v>2023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/>
      <c r="L272" s="5"/>
      <c r="M272" s="5"/>
      <c r="N272" s="5"/>
      <c r="O272" s="5"/>
      <c r="P272" s="5"/>
      <c r="Q272" s="5"/>
      <c r="R272" s="20">
        <f t="shared" si="4"/>
        <v>0</v>
      </c>
      <c r="S272" s="6"/>
    </row>
    <row r="273" spans="1:19" s="2" customFormat="1" ht="15">
      <c r="A273" s="4" t="s">
        <v>492</v>
      </c>
      <c r="B273" s="3" t="s">
        <v>541</v>
      </c>
      <c r="C273" s="4" t="s">
        <v>542</v>
      </c>
      <c r="D273" s="4">
        <v>18.7</v>
      </c>
      <c r="E273" s="29">
        <v>2023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/>
      <c r="L273" s="5"/>
      <c r="M273" s="5"/>
      <c r="N273" s="5"/>
      <c r="O273" s="5"/>
      <c r="P273" s="5"/>
      <c r="Q273" s="5"/>
      <c r="R273" s="20">
        <f t="shared" si="4"/>
        <v>0</v>
      </c>
      <c r="S273" s="6"/>
    </row>
    <row r="274" spans="1:19" s="2" customFormat="1" ht="15">
      <c r="A274" s="4" t="s">
        <v>492</v>
      </c>
      <c r="B274" s="3" t="s">
        <v>543</v>
      </c>
      <c r="C274" s="4" t="s">
        <v>544</v>
      </c>
      <c r="D274" s="4">
        <v>9.2200000000000006</v>
      </c>
      <c r="E274" s="29">
        <v>2024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/>
      <c r="L274" s="5"/>
      <c r="M274" s="5"/>
      <c r="N274" s="5"/>
      <c r="O274" s="5"/>
      <c r="P274" s="5"/>
      <c r="Q274" s="5"/>
      <c r="R274" s="20">
        <f t="shared" si="4"/>
        <v>0</v>
      </c>
      <c r="S274" s="6"/>
    </row>
    <row r="275" spans="1:19" s="2" customFormat="1" ht="15">
      <c r="A275" s="4" t="s">
        <v>492</v>
      </c>
      <c r="B275" s="3" t="s">
        <v>545</v>
      </c>
      <c r="C275" s="4" t="s">
        <v>546</v>
      </c>
      <c r="D275" s="4">
        <v>4.41</v>
      </c>
      <c r="E275" s="29">
        <v>2024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/>
      <c r="L275" s="5"/>
      <c r="M275" s="5"/>
      <c r="N275" s="5"/>
      <c r="O275" s="5"/>
      <c r="P275" s="5"/>
      <c r="Q275" s="5"/>
      <c r="R275" s="20">
        <f t="shared" si="4"/>
        <v>0</v>
      </c>
      <c r="S275" s="6"/>
    </row>
    <row r="276" spans="1:19" s="2" customFormat="1" ht="15">
      <c r="A276" s="4" t="s">
        <v>492</v>
      </c>
      <c r="B276" s="3" t="s">
        <v>547</v>
      </c>
      <c r="C276" s="4" t="s">
        <v>548</v>
      </c>
      <c r="D276" s="4">
        <v>2.62</v>
      </c>
      <c r="E276" s="29">
        <v>2024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/>
      <c r="L276" s="5"/>
      <c r="M276" s="5"/>
      <c r="N276" s="5"/>
      <c r="O276" s="5"/>
      <c r="P276" s="5"/>
      <c r="Q276" s="5"/>
      <c r="R276" s="20">
        <f t="shared" si="4"/>
        <v>0</v>
      </c>
      <c r="S276" s="6"/>
    </row>
    <row r="277" spans="1:19" s="2" customFormat="1" ht="15">
      <c r="A277" s="4" t="s">
        <v>492</v>
      </c>
      <c r="B277" s="3" t="s">
        <v>549</v>
      </c>
      <c r="C277" s="4" t="s">
        <v>550</v>
      </c>
      <c r="D277" s="4">
        <v>3.51</v>
      </c>
      <c r="E277" s="29">
        <v>2024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/>
      <c r="L277" s="5"/>
      <c r="M277" s="5"/>
      <c r="N277" s="5"/>
      <c r="O277" s="5"/>
      <c r="P277" s="5"/>
      <c r="Q277" s="5"/>
      <c r="R277" s="20">
        <f t="shared" si="4"/>
        <v>0</v>
      </c>
      <c r="S277" s="6"/>
    </row>
    <row r="278" spans="1:19" s="2" customFormat="1" ht="15">
      <c r="A278" s="4" t="s">
        <v>492</v>
      </c>
      <c r="B278" s="3" t="s">
        <v>551</v>
      </c>
      <c r="C278" s="4" t="s">
        <v>552</v>
      </c>
      <c r="D278" s="4">
        <v>3.19</v>
      </c>
      <c r="E278" s="29">
        <v>2024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/>
      <c r="L278" s="5"/>
      <c r="M278" s="5"/>
      <c r="N278" s="5"/>
      <c r="O278" s="5"/>
      <c r="P278" s="5"/>
      <c r="Q278" s="5"/>
      <c r="R278" s="20">
        <f t="shared" si="4"/>
        <v>0</v>
      </c>
      <c r="S278" s="6"/>
    </row>
    <row r="279" spans="1:19" s="2" customFormat="1" ht="15">
      <c r="A279" s="4" t="s">
        <v>492</v>
      </c>
      <c r="B279" s="3" t="s">
        <v>553</v>
      </c>
      <c r="C279" s="4" t="s">
        <v>554</v>
      </c>
      <c r="D279" s="4">
        <v>4.62</v>
      </c>
      <c r="E279" s="29">
        <v>2024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/>
      <c r="L279" s="5"/>
      <c r="M279" s="5"/>
      <c r="N279" s="5"/>
      <c r="O279" s="5"/>
      <c r="P279" s="5"/>
      <c r="Q279" s="5"/>
      <c r="R279" s="20">
        <f t="shared" si="4"/>
        <v>0</v>
      </c>
      <c r="S279" s="6"/>
    </row>
    <row r="280" spans="1:19" s="2" customFormat="1" ht="15">
      <c r="A280" s="4" t="s">
        <v>492</v>
      </c>
      <c r="B280" s="3" t="s">
        <v>555</v>
      </c>
      <c r="C280" s="4" t="s">
        <v>556</v>
      </c>
      <c r="D280" s="4">
        <v>4.41</v>
      </c>
      <c r="E280" s="29">
        <v>2024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/>
      <c r="L280" s="5"/>
      <c r="M280" s="5"/>
      <c r="N280" s="5"/>
      <c r="O280" s="5"/>
      <c r="P280" s="5"/>
      <c r="Q280" s="5"/>
      <c r="R280" s="20">
        <f t="shared" si="4"/>
        <v>0</v>
      </c>
      <c r="S280" s="6"/>
    </row>
    <row r="281" spans="1:19" s="2" customFormat="1" ht="15">
      <c r="A281" s="4" t="s">
        <v>492</v>
      </c>
      <c r="B281" s="3" t="s">
        <v>557</v>
      </c>
      <c r="C281" s="4" t="s">
        <v>558</v>
      </c>
      <c r="D281" s="4">
        <v>1.91</v>
      </c>
      <c r="E281" s="29">
        <v>2024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/>
      <c r="L281" s="5"/>
      <c r="M281" s="5"/>
      <c r="N281" s="5"/>
      <c r="O281" s="5"/>
      <c r="P281" s="5"/>
      <c r="Q281" s="5"/>
      <c r="R281" s="20">
        <f t="shared" si="4"/>
        <v>0</v>
      </c>
      <c r="S281" s="6"/>
    </row>
    <row r="282" spans="1:19" s="2" customFormat="1" ht="15">
      <c r="A282" s="4" t="s">
        <v>492</v>
      </c>
      <c r="B282" s="3" t="s">
        <v>559</v>
      </c>
      <c r="C282" s="4" t="s">
        <v>560</v>
      </c>
      <c r="D282" s="4">
        <v>3.6</v>
      </c>
      <c r="E282" s="29">
        <v>2024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/>
      <c r="L282" s="5"/>
      <c r="M282" s="5"/>
      <c r="N282" s="5"/>
      <c r="O282" s="5"/>
      <c r="P282" s="5"/>
      <c r="Q282" s="5"/>
      <c r="R282" s="20">
        <f t="shared" si="4"/>
        <v>0</v>
      </c>
      <c r="S282" s="6"/>
    </row>
    <row r="283" spans="1:19" s="2" customFormat="1" ht="15">
      <c r="A283" s="4" t="s">
        <v>492</v>
      </c>
      <c r="B283" s="3" t="s">
        <v>561</v>
      </c>
      <c r="C283" s="4" t="s">
        <v>562</v>
      </c>
      <c r="D283" s="4">
        <v>0.86</v>
      </c>
      <c r="E283" s="29">
        <v>2024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/>
      <c r="L283" s="5"/>
      <c r="M283" s="5"/>
      <c r="N283" s="5"/>
      <c r="O283" s="5"/>
      <c r="P283" s="5"/>
      <c r="Q283" s="5"/>
      <c r="R283" s="20">
        <f t="shared" si="4"/>
        <v>0</v>
      </c>
      <c r="S283" s="6"/>
    </row>
    <row r="284" spans="1:19" s="2" customFormat="1" ht="15">
      <c r="A284" s="4" t="s">
        <v>492</v>
      </c>
      <c r="B284" s="3" t="s">
        <v>563</v>
      </c>
      <c r="C284" s="4" t="s">
        <v>564</v>
      </c>
      <c r="D284" s="4">
        <v>5.05</v>
      </c>
      <c r="E284" s="29">
        <v>2023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/>
      <c r="L284" s="5"/>
      <c r="M284" s="5"/>
      <c r="N284" s="5"/>
      <c r="O284" s="5"/>
      <c r="P284" s="5"/>
      <c r="Q284" s="5"/>
      <c r="R284" s="20">
        <f t="shared" si="4"/>
        <v>0</v>
      </c>
      <c r="S284" s="6"/>
    </row>
    <row r="287" spans="1:19">
      <c r="E287" s="16"/>
    </row>
    <row r="288" spans="1:19">
      <c r="E288" s="16"/>
    </row>
    <row r="289" spans="5:5">
      <c r="E289" s="16"/>
    </row>
  </sheetData>
  <printOptions horizontalCentered="1"/>
  <pageMargins left="0" right="0" top="3.9370078740157501E-2" bottom="0" header="0.118110236220472" footer="0.118110236220472"/>
  <pageSetup paperSize="1000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0194-044C-4904-8A56-4DF06F7A40D0}">
  <dimension ref="A1:R289"/>
  <sheetViews>
    <sheetView showGridLines="0" zoomScale="85" zoomScaleNormal="85" zoomScaleSheetLayoutView="85" workbookViewId="0">
      <pane xSplit="5" ySplit="2" topLeftCell="F3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RowHeight="13.5"/>
  <cols>
    <col min="1" max="1" width="5.85546875" style="1" customWidth="1"/>
    <col min="2" max="2" width="7.42578125" style="11" customWidth="1"/>
    <col min="3" max="4" width="10" style="1" customWidth="1"/>
    <col min="5" max="5" width="10.28515625" style="12" customWidth="1"/>
    <col min="6" max="7" width="11.5703125" style="13" customWidth="1"/>
    <col min="8" max="8" width="11.5703125" style="1" customWidth="1"/>
    <col min="9" max="9" width="10.28515625" style="1" customWidth="1"/>
    <col min="10" max="10" width="10.5703125" style="1" bestFit="1" customWidth="1"/>
    <col min="11" max="17" width="9.140625" style="1" customWidth="1"/>
    <col min="18" max="18" width="11.5703125" style="1" bestFit="1" customWidth="1"/>
    <col min="19" max="16384" width="9.140625" style="1"/>
  </cols>
  <sheetData>
    <row r="1" spans="1:18" s="2" customFormat="1" ht="4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4">
        <v>45901</v>
      </c>
      <c r="G1" s="24">
        <v>45931</v>
      </c>
      <c r="H1" s="24">
        <v>45962</v>
      </c>
      <c r="I1" s="24">
        <v>45992</v>
      </c>
      <c r="J1" s="24">
        <v>46023</v>
      </c>
      <c r="K1" s="24">
        <v>46054</v>
      </c>
      <c r="L1" s="24">
        <v>46082</v>
      </c>
      <c r="M1" s="24">
        <v>46113</v>
      </c>
      <c r="N1" s="24">
        <v>46143</v>
      </c>
      <c r="O1" s="24">
        <v>46174</v>
      </c>
      <c r="P1" s="24">
        <v>46204</v>
      </c>
      <c r="Q1" s="24">
        <v>46235</v>
      </c>
      <c r="R1" s="17" t="s">
        <v>5</v>
      </c>
    </row>
    <row r="2" spans="1:18" s="2" customFormat="1" ht="20.100000000000001" customHeight="1">
      <c r="A2" s="4" t="s">
        <v>6</v>
      </c>
      <c r="B2" s="3" t="s">
        <v>7</v>
      </c>
      <c r="C2" s="4" t="s">
        <v>8</v>
      </c>
      <c r="D2" s="4">
        <v>6.29</v>
      </c>
      <c r="E2" s="28">
        <v>2008</v>
      </c>
      <c r="F2" s="26">
        <v>623</v>
      </c>
      <c r="G2" s="26">
        <v>640</v>
      </c>
      <c r="H2" s="26">
        <v>761</v>
      </c>
      <c r="I2" s="26">
        <v>314</v>
      </c>
      <c r="J2" s="26">
        <v>408</v>
      </c>
      <c r="K2" s="26"/>
      <c r="L2" s="26"/>
      <c r="M2" s="26"/>
      <c r="N2" s="26"/>
      <c r="O2" s="26"/>
      <c r="P2" s="26"/>
      <c r="Q2" s="26"/>
      <c r="R2" s="18">
        <f>SUM(F2:Q2)</f>
        <v>2746</v>
      </c>
    </row>
    <row r="3" spans="1:18" s="2" customFormat="1" ht="20.100000000000001" customHeight="1">
      <c r="A3" s="8" t="s">
        <v>6</v>
      </c>
      <c r="B3" s="7" t="s">
        <v>9</v>
      </c>
      <c r="C3" s="8" t="s">
        <v>10</v>
      </c>
      <c r="D3" s="4">
        <v>19.149999999999999</v>
      </c>
      <c r="E3" s="28">
        <v>2009</v>
      </c>
      <c r="F3" s="26">
        <v>2136</v>
      </c>
      <c r="G3" s="26">
        <v>2124</v>
      </c>
      <c r="H3" s="26">
        <v>2147</v>
      </c>
      <c r="I3" s="26">
        <v>1984</v>
      </c>
      <c r="J3" s="26">
        <v>2088</v>
      </c>
      <c r="K3" s="26"/>
      <c r="L3" s="26"/>
      <c r="M3" s="26"/>
      <c r="N3" s="26"/>
      <c r="O3" s="26"/>
      <c r="P3" s="26"/>
      <c r="Q3" s="26"/>
      <c r="R3" s="18">
        <f t="shared" ref="R3:R66" si="0">SUM(F3:Q3)</f>
        <v>10479</v>
      </c>
    </row>
    <row r="4" spans="1:18" s="2" customFormat="1" ht="20.100000000000001" customHeight="1">
      <c r="A4" s="8" t="s">
        <v>6</v>
      </c>
      <c r="B4" s="7" t="s">
        <v>11</v>
      </c>
      <c r="C4" s="8" t="s">
        <v>12</v>
      </c>
      <c r="D4" s="4">
        <v>18.46</v>
      </c>
      <c r="E4" s="28">
        <v>2009</v>
      </c>
      <c r="F4" s="26">
        <v>890</v>
      </c>
      <c r="G4" s="26">
        <v>1178</v>
      </c>
      <c r="H4" s="26">
        <v>1895</v>
      </c>
      <c r="I4" s="26">
        <v>1119</v>
      </c>
      <c r="J4" s="26">
        <v>1200</v>
      </c>
      <c r="K4" s="26"/>
      <c r="L4" s="26"/>
      <c r="M4" s="26"/>
      <c r="N4" s="26"/>
      <c r="O4" s="26"/>
      <c r="P4" s="26"/>
      <c r="Q4" s="26"/>
      <c r="R4" s="18">
        <f t="shared" si="0"/>
        <v>6282</v>
      </c>
    </row>
    <row r="5" spans="1:18" s="2" customFormat="1" ht="20.100000000000001" customHeight="1">
      <c r="A5" s="8" t="s">
        <v>6</v>
      </c>
      <c r="B5" s="7" t="s">
        <v>13</v>
      </c>
      <c r="C5" s="8" t="s">
        <v>14</v>
      </c>
      <c r="D5" s="4">
        <v>19.61</v>
      </c>
      <c r="E5" s="28">
        <v>2009</v>
      </c>
      <c r="F5" s="26">
        <v>542</v>
      </c>
      <c r="G5" s="26">
        <v>624</v>
      </c>
      <c r="H5" s="26">
        <v>1288</v>
      </c>
      <c r="I5" s="26">
        <v>768</v>
      </c>
      <c r="J5" s="26">
        <v>934</v>
      </c>
      <c r="K5" s="26"/>
      <c r="L5" s="26"/>
      <c r="M5" s="26"/>
      <c r="N5" s="26"/>
      <c r="O5" s="26"/>
      <c r="P5" s="26"/>
      <c r="Q5" s="26"/>
      <c r="R5" s="18">
        <f t="shared" si="0"/>
        <v>4156</v>
      </c>
    </row>
    <row r="6" spans="1:18" s="2" customFormat="1" ht="20.100000000000001" customHeight="1">
      <c r="A6" s="8" t="s">
        <v>6</v>
      </c>
      <c r="B6" s="7" t="s">
        <v>15</v>
      </c>
      <c r="C6" s="8" t="s">
        <v>16</v>
      </c>
      <c r="D6" s="4">
        <v>19.2</v>
      </c>
      <c r="E6" s="28">
        <v>2009</v>
      </c>
      <c r="F6" s="26">
        <v>2250</v>
      </c>
      <c r="G6" s="26">
        <v>2587</v>
      </c>
      <c r="H6" s="26">
        <v>2871</v>
      </c>
      <c r="I6" s="26">
        <v>2103</v>
      </c>
      <c r="J6" s="26">
        <v>2485</v>
      </c>
      <c r="K6" s="26"/>
      <c r="L6" s="26"/>
      <c r="M6" s="26"/>
      <c r="N6" s="26"/>
      <c r="O6" s="26"/>
      <c r="P6" s="26"/>
      <c r="Q6" s="26"/>
      <c r="R6" s="18">
        <f t="shared" si="0"/>
        <v>12296</v>
      </c>
    </row>
    <row r="7" spans="1:18" s="2" customFormat="1" ht="20.100000000000001" customHeight="1">
      <c r="A7" s="8" t="s">
        <v>6</v>
      </c>
      <c r="B7" s="7" t="s">
        <v>17</v>
      </c>
      <c r="C7" s="8" t="s">
        <v>18</v>
      </c>
      <c r="D7" s="4">
        <v>21.32</v>
      </c>
      <c r="E7" s="28">
        <v>2009</v>
      </c>
      <c r="F7" s="26">
        <v>1789</v>
      </c>
      <c r="G7" s="26">
        <v>2059</v>
      </c>
      <c r="H7" s="26">
        <v>2678</v>
      </c>
      <c r="I7" s="26">
        <v>1873</v>
      </c>
      <c r="J7" s="26">
        <v>2245</v>
      </c>
      <c r="K7" s="26"/>
      <c r="L7" s="26"/>
      <c r="M7" s="26"/>
      <c r="N7" s="26"/>
      <c r="O7" s="26"/>
      <c r="P7" s="26"/>
      <c r="Q7" s="26"/>
      <c r="R7" s="18">
        <f t="shared" si="0"/>
        <v>10644</v>
      </c>
    </row>
    <row r="8" spans="1:18" s="2" customFormat="1" ht="20.100000000000001" customHeight="1">
      <c r="A8" s="8" t="s">
        <v>6</v>
      </c>
      <c r="B8" s="7" t="s">
        <v>19</v>
      </c>
      <c r="C8" s="8" t="s">
        <v>20</v>
      </c>
      <c r="D8" s="4">
        <v>4.8899999999999997</v>
      </c>
      <c r="E8" s="28">
        <v>2010</v>
      </c>
      <c r="F8" s="26">
        <v>723</v>
      </c>
      <c r="G8" s="26">
        <v>575</v>
      </c>
      <c r="H8" s="26">
        <v>805</v>
      </c>
      <c r="I8" s="26">
        <v>600</v>
      </c>
      <c r="J8" s="26">
        <v>537</v>
      </c>
      <c r="K8" s="26"/>
      <c r="L8" s="26"/>
      <c r="M8" s="26"/>
      <c r="N8" s="26"/>
      <c r="O8" s="26"/>
      <c r="P8" s="26"/>
      <c r="Q8" s="26"/>
      <c r="R8" s="18">
        <f t="shared" si="0"/>
        <v>3240</v>
      </c>
    </row>
    <row r="9" spans="1:18" s="2" customFormat="1" ht="20.100000000000001" customHeight="1">
      <c r="A9" s="10" t="s">
        <v>6</v>
      </c>
      <c r="B9" s="9" t="s">
        <v>21</v>
      </c>
      <c r="C9" s="10" t="s">
        <v>22</v>
      </c>
      <c r="D9" s="4">
        <v>13.87</v>
      </c>
      <c r="E9" s="28">
        <v>2010</v>
      </c>
      <c r="F9" s="26">
        <v>1317</v>
      </c>
      <c r="G9" s="26">
        <v>1447</v>
      </c>
      <c r="H9" s="26">
        <v>2130</v>
      </c>
      <c r="I9" s="26">
        <v>1192</v>
      </c>
      <c r="J9" s="26">
        <v>1240</v>
      </c>
      <c r="K9" s="26"/>
      <c r="L9" s="26"/>
      <c r="M9" s="26"/>
      <c r="N9" s="26"/>
      <c r="O9" s="26"/>
      <c r="P9" s="26"/>
      <c r="Q9" s="26"/>
      <c r="R9" s="18">
        <f t="shared" si="0"/>
        <v>7326</v>
      </c>
    </row>
    <row r="10" spans="1:18" s="2" customFormat="1" ht="20.100000000000001" customHeight="1">
      <c r="A10" s="8" t="s">
        <v>6</v>
      </c>
      <c r="B10" s="7" t="s">
        <v>23</v>
      </c>
      <c r="C10" s="8" t="s">
        <v>24</v>
      </c>
      <c r="D10" s="4">
        <v>6.64</v>
      </c>
      <c r="E10" s="28">
        <v>2010</v>
      </c>
      <c r="F10" s="26">
        <v>662</v>
      </c>
      <c r="G10" s="26">
        <v>901</v>
      </c>
      <c r="H10" s="26">
        <v>948</v>
      </c>
      <c r="I10" s="26">
        <v>450</v>
      </c>
      <c r="J10" s="26">
        <v>602</v>
      </c>
      <c r="K10" s="26"/>
      <c r="L10" s="26"/>
      <c r="M10" s="26"/>
      <c r="N10" s="26"/>
      <c r="O10" s="26"/>
      <c r="P10" s="26"/>
      <c r="Q10" s="26"/>
      <c r="R10" s="18">
        <f t="shared" si="0"/>
        <v>3563</v>
      </c>
    </row>
    <row r="11" spans="1:18" s="2" customFormat="1" ht="20.100000000000001" customHeight="1">
      <c r="A11" s="10" t="s">
        <v>6</v>
      </c>
      <c r="B11" s="9" t="s">
        <v>25</v>
      </c>
      <c r="C11" s="10" t="s">
        <v>26</v>
      </c>
      <c r="D11" s="4">
        <v>16.57</v>
      </c>
      <c r="E11" s="28">
        <v>2010</v>
      </c>
      <c r="F11" s="26">
        <v>1246</v>
      </c>
      <c r="G11" s="26">
        <v>1798</v>
      </c>
      <c r="H11" s="26">
        <v>2330</v>
      </c>
      <c r="I11" s="26">
        <v>1518</v>
      </c>
      <c r="J11" s="26">
        <v>1420</v>
      </c>
      <c r="K11" s="26"/>
      <c r="L11" s="26"/>
      <c r="M11" s="26"/>
      <c r="N11" s="26"/>
      <c r="O11" s="26"/>
      <c r="P11" s="26"/>
      <c r="Q11" s="26"/>
      <c r="R11" s="18">
        <f t="shared" si="0"/>
        <v>8312</v>
      </c>
    </row>
    <row r="12" spans="1:18" s="2" customFormat="1" ht="20.100000000000001" customHeight="1">
      <c r="A12" s="10" t="s">
        <v>6</v>
      </c>
      <c r="B12" s="9" t="s">
        <v>27</v>
      </c>
      <c r="C12" s="10" t="s">
        <v>28</v>
      </c>
      <c r="D12" s="4">
        <v>7.92</v>
      </c>
      <c r="E12" s="28">
        <v>2010</v>
      </c>
      <c r="F12" s="26">
        <v>817</v>
      </c>
      <c r="G12" s="26">
        <v>902</v>
      </c>
      <c r="H12" s="26">
        <v>994</v>
      </c>
      <c r="I12" s="26">
        <v>786</v>
      </c>
      <c r="J12" s="26">
        <v>672</v>
      </c>
      <c r="K12" s="26"/>
      <c r="L12" s="26"/>
      <c r="M12" s="26"/>
      <c r="N12" s="26"/>
      <c r="O12" s="26"/>
      <c r="P12" s="26"/>
      <c r="Q12" s="26"/>
      <c r="R12" s="18">
        <f t="shared" si="0"/>
        <v>4171</v>
      </c>
    </row>
    <row r="13" spans="1:18" s="2" customFormat="1" ht="20.100000000000001" customHeight="1">
      <c r="A13" s="10" t="s">
        <v>6</v>
      </c>
      <c r="B13" s="9" t="s">
        <v>29</v>
      </c>
      <c r="C13" s="10" t="s">
        <v>30</v>
      </c>
      <c r="D13" s="4">
        <v>17.89</v>
      </c>
      <c r="E13" s="28">
        <v>2010</v>
      </c>
      <c r="F13" s="26">
        <v>1717</v>
      </c>
      <c r="G13" s="26">
        <v>1684</v>
      </c>
      <c r="H13" s="26">
        <v>2049</v>
      </c>
      <c r="I13" s="26">
        <v>1256</v>
      </c>
      <c r="J13" s="26">
        <v>1166</v>
      </c>
      <c r="K13" s="26"/>
      <c r="L13" s="26"/>
      <c r="M13" s="26"/>
      <c r="N13" s="26"/>
      <c r="O13" s="26"/>
      <c r="P13" s="26"/>
      <c r="Q13" s="26"/>
      <c r="R13" s="18">
        <f t="shared" si="0"/>
        <v>7872</v>
      </c>
    </row>
    <row r="14" spans="1:18" s="2" customFormat="1" ht="20.100000000000001" customHeight="1">
      <c r="A14" s="8" t="s">
        <v>6</v>
      </c>
      <c r="B14" s="7" t="s">
        <v>31</v>
      </c>
      <c r="C14" s="8" t="s">
        <v>32</v>
      </c>
      <c r="D14" s="4">
        <v>20.5</v>
      </c>
      <c r="E14" s="28">
        <v>2011</v>
      </c>
      <c r="F14" s="26">
        <v>2171</v>
      </c>
      <c r="G14" s="26">
        <v>3559</v>
      </c>
      <c r="H14" s="26">
        <v>3064</v>
      </c>
      <c r="I14" s="26">
        <v>2551</v>
      </c>
      <c r="J14" s="26">
        <v>2677</v>
      </c>
      <c r="K14" s="26"/>
      <c r="L14" s="26"/>
      <c r="M14" s="26"/>
      <c r="N14" s="26"/>
      <c r="O14" s="26"/>
      <c r="P14" s="26"/>
      <c r="Q14" s="26"/>
      <c r="R14" s="18">
        <f t="shared" si="0"/>
        <v>14022</v>
      </c>
    </row>
    <row r="15" spans="1:18" s="2" customFormat="1" ht="20.100000000000001" customHeight="1">
      <c r="A15" s="8" t="s">
        <v>6</v>
      </c>
      <c r="B15" s="7" t="s">
        <v>33</v>
      </c>
      <c r="C15" s="8" t="s">
        <v>34</v>
      </c>
      <c r="D15" s="4">
        <v>6.87</v>
      </c>
      <c r="E15" s="28">
        <v>2011</v>
      </c>
      <c r="F15" s="26">
        <v>973</v>
      </c>
      <c r="G15" s="26">
        <v>1238</v>
      </c>
      <c r="H15" s="26">
        <v>1577</v>
      </c>
      <c r="I15" s="26">
        <v>1061</v>
      </c>
      <c r="J15" s="26">
        <v>1057</v>
      </c>
      <c r="K15" s="26"/>
      <c r="L15" s="26"/>
      <c r="M15" s="26"/>
      <c r="N15" s="26"/>
      <c r="O15" s="26"/>
      <c r="P15" s="26"/>
      <c r="Q15" s="26"/>
      <c r="R15" s="18">
        <f t="shared" si="0"/>
        <v>5906</v>
      </c>
    </row>
    <row r="16" spans="1:18" s="2" customFormat="1" ht="20.100000000000001" customHeight="1">
      <c r="A16" s="8" t="s">
        <v>6</v>
      </c>
      <c r="B16" s="7" t="s">
        <v>35</v>
      </c>
      <c r="C16" s="8" t="s">
        <v>36</v>
      </c>
      <c r="D16" s="4">
        <v>9.49</v>
      </c>
      <c r="E16" s="28">
        <v>2011</v>
      </c>
      <c r="F16" s="26">
        <v>1223</v>
      </c>
      <c r="G16" s="26">
        <v>1593</v>
      </c>
      <c r="H16" s="26">
        <v>2488</v>
      </c>
      <c r="I16" s="26">
        <v>1141</v>
      </c>
      <c r="J16" s="26">
        <v>2051</v>
      </c>
      <c r="K16" s="26"/>
      <c r="L16" s="26"/>
      <c r="M16" s="26"/>
      <c r="N16" s="26"/>
      <c r="O16" s="26"/>
      <c r="P16" s="26"/>
      <c r="Q16" s="26"/>
      <c r="R16" s="18">
        <f t="shared" si="0"/>
        <v>8496</v>
      </c>
    </row>
    <row r="17" spans="1:18" s="2" customFormat="1" ht="20.100000000000001" customHeight="1">
      <c r="A17" s="8" t="s">
        <v>6</v>
      </c>
      <c r="B17" s="7" t="s">
        <v>37</v>
      </c>
      <c r="C17" s="8" t="s">
        <v>38</v>
      </c>
      <c r="D17" s="4">
        <v>14.21</v>
      </c>
      <c r="E17" s="28">
        <v>2011</v>
      </c>
      <c r="F17" s="26">
        <v>2151</v>
      </c>
      <c r="G17" s="26">
        <v>3137</v>
      </c>
      <c r="H17" s="26">
        <v>3874</v>
      </c>
      <c r="I17" s="26">
        <v>2284</v>
      </c>
      <c r="J17" s="26">
        <v>2935</v>
      </c>
      <c r="K17" s="26"/>
      <c r="L17" s="26"/>
      <c r="M17" s="26"/>
      <c r="N17" s="26"/>
      <c r="O17" s="26"/>
      <c r="P17" s="26"/>
      <c r="Q17" s="26"/>
      <c r="R17" s="18">
        <f t="shared" si="0"/>
        <v>14381</v>
      </c>
    </row>
    <row r="18" spans="1:18" s="2" customFormat="1" ht="20.100000000000001" customHeight="1">
      <c r="A18" s="8" t="s">
        <v>6</v>
      </c>
      <c r="B18" s="7" t="s">
        <v>39</v>
      </c>
      <c r="C18" s="8" t="s">
        <v>40</v>
      </c>
      <c r="D18" s="4">
        <v>29.23</v>
      </c>
      <c r="E18" s="28">
        <v>2011</v>
      </c>
      <c r="F18" s="26">
        <v>2685</v>
      </c>
      <c r="G18" s="26">
        <v>4191</v>
      </c>
      <c r="H18" s="26">
        <v>4726</v>
      </c>
      <c r="I18" s="26">
        <v>3480</v>
      </c>
      <c r="J18" s="26">
        <v>3071</v>
      </c>
      <c r="K18" s="26"/>
      <c r="L18" s="26"/>
      <c r="M18" s="26"/>
      <c r="N18" s="26"/>
      <c r="O18" s="26"/>
      <c r="P18" s="26"/>
      <c r="Q18" s="26"/>
      <c r="R18" s="18">
        <f t="shared" si="0"/>
        <v>18153</v>
      </c>
    </row>
    <row r="19" spans="1:18" s="2" customFormat="1" ht="20.100000000000001" customHeight="1">
      <c r="A19" s="8" t="s">
        <v>6</v>
      </c>
      <c r="B19" s="7" t="s">
        <v>41</v>
      </c>
      <c r="C19" s="8" t="s">
        <v>42</v>
      </c>
      <c r="D19" s="4">
        <v>2.92</v>
      </c>
      <c r="E19" s="28">
        <v>2011</v>
      </c>
      <c r="F19" s="26">
        <v>505</v>
      </c>
      <c r="G19" s="26">
        <v>633</v>
      </c>
      <c r="H19" s="26">
        <v>637</v>
      </c>
      <c r="I19" s="26">
        <v>465</v>
      </c>
      <c r="J19" s="26">
        <v>615</v>
      </c>
      <c r="K19" s="26"/>
      <c r="L19" s="26"/>
      <c r="M19" s="26"/>
      <c r="N19" s="26"/>
      <c r="O19" s="26"/>
      <c r="P19" s="26"/>
      <c r="Q19" s="26"/>
      <c r="R19" s="18">
        <f t="shared" si="0"/>
        <v>2855</v>
      </c>
    </row>
    <row r="20" spans="1:18" s="2" customFormat="1" ht="20.100000000000001" customHeight="1">
      <c r="A20" s="8" t="s">
        <v>6</v>
      </c>
      <c r="B20" s="7" t="s">
        <v>43</v>
      </c>
      <c r="C20" s="8" t="s">
        <v>44</v>
      </c>
      <c r="D20" s="4">
        <v>31.31</v>
      </c>
      <c r="E20" s="28">
        <v>2011</v>
      </c>
      <c r="F20" s="26">
        <v>3415</v>
      </c>
      <c r="G20" s="26">
        <v>4801</v>
      </c>
      <c r="H20" s="26">
        <v>6865</v>
      </c>
      <c r="I20" s="26">
        <v>4006</v>
      </c>
      <c r="J20" s="26">
        <v>5789</v>
      </c>
      <c r="K20" s="26"/>
      <c r="L20" s="26"/>
      <c r="M20" s="26"/>
      <c r="N20" s="26"/>
      <c r="O20" s="26"/>
      <c r="P20" s="26"/>
      <c r="Q20" s="26"/>
      <c r="R20" s="18">
        <f t="shared" si="0"/>
        <v>24876</v>
      </c>
    </row>
    <row r="21" spans="1:18" s="2" customFormat="1" ht="20.100000000000001" customHeight="1">
      <c r="A21" s="4" t="s">
        <v>6</v>
      </c>
      <c r="B21" s="3" t="s">
        <v>45</v>
      </c>
      <c r="C21" s="4" t="s">
        <v>46</v>
      </c>
      <c r="D21" s="4">
        <v>19.39</v>
      </c>
      <c r="E21" s="28">
        <v>2011</v>
      </c>
      <c r="F21" s="26">
        <v>1841</v>
      </c>
      <c r="G21" s="26">
        <v>1811</v>
      </c>
      <c r="H21" s="26">
        <v>4260</v>
      </c>
      <c r="I21" s="26">
        <v>2485</v>
      </c>
      <c r="J21" s="26">
        <v>3639</v>
      </c>
      <c r="K21" s="26"/>
      <c r="L21" s="26"/>
      <c r="M21" s="26"/>
      <c r="N21" s="26"/>
      <c r="O21" s="26"/>
      <c r="P21" s="26"/>
      <c r="Q21" s="26"/>
      <c r="R21" s="18">
        <f t="shared" si="0"/>
        <v>14036</v>
      </c>
    </row>
    <row r="22" spans="1:18" s="2" customFormat="1" ht="20.100000000000001" customHeight="1">
      <c r="A22" s="4" t="s">
        <v>6</v>
      </c>
      <c r="B22" s="3" t="s">
        <v>47</v>
      </c>
      <c r="C22" s="4" t="s">
        <v>48</v>
      </c>
      <c r="D22" s="4">
        <v>19.100000000000001</v>
      </c>
      <c r="E22" s="28">
        <v>2011</v>
      </c>
      <c r="F22" s="26">
        <v>3188</v>
      </c>
      <c r="G22" s="26">
        <v>3709</v>
      </c>
      <c r="H22" s="26">
        <v>5087</v>
      </c>
      <c r="I22" s="26">
        <v>3623</v>
      </c>
      <c r="J22" s="26">
        <v>4714</v>
      </c>
      <c r="K22" s="26"/>
      <c r="L22" s="26"/>
      <c r="M22" s="26"/>
      <c r="N22" s="26"/>
      <c r="O22" s="26"/>
      <c r="P22" s="26"/>
      <c r="Q22" s="26"/>
      <c r="R22" s="18">
        <f t="shared" si="0"/>
        <v>20321</v>
      </c>
    </row>
    <row r="23" spans="1:18" s="2" customFormat="1" ht="20.100000000000001" customHeight="1">
      <c r="A23" s="4" t="s">
        <v>6</v>
      </c>
      <c r="B23" s="3" t="s">
        <v>49</v>
      </c>
      <c r="C23" s="4" t="s">
        <v>50</v>
      </c>
      <c r="D23" s="4">
        <v>18.64</v>
      </c>
      <c r="E23" s="28">
        <v>2011</v>
      </c>
      <c r="F23" s="26">
        <v>1149</v>
      </c>
      <c r="G23" s="26">
        <v>1186</v>
      </c>
      <c r="H23" s="26">
        <v>1959</v>
      </c>
      <c r="I23" s="26">
        <v>1294</v>
      </c>
      <c r="J23" s="26">
        <v>1726</v>
      </c>
      <c r="K23" s="26"/>
      <c r="L23" s="26"/>
      <c r="M23" s="26"/>
      <c r="N23" s="26"/>
      <c r="O23" s="26"/>
      <c r="P23" s="26"/>
      <c r="Q23" s="26"/>
      <c r="R23" s="18">
        <f t="shared" si="0"/>
        <v>7314</v>
      </c>
    </row>
    <row r="24" spans="1:18" s="2" customFormat="1" ht="20.100000000000001" customHeight="1">
      <c r="A24" s="4" t="s">
        <v>6</v>
      </c>
      <c r="B24" s="3" t="s">
        <v>51</v>
      </c>
      <c r="C24" s="4" t="s">
        <v>52</v>
      </c>
      <c r="D24" s="4">
        <v>18.8</v>
      </c>
      <c r="E24" s="28">
        <v>2011</v>
      </c>
      <c r="F24" s="26">
        <v>2201</v>
      </c>
      <c r="G24" s="26">
        <v>2664</v>
      </c>
      <c r="H24" s="26">
        <v>3785</v>
      </c>
      <c r="I24" s="26">
        <v>2727</v>
      </c>
      <c r="J24" s="26">
        <v>3936</v>
      </c>
      <c r="K24" s="26"/>
      <c r="L24" s="26"/>
      <c r="M24" s="26"/>
      <c r="N24" s="26"/>
      <c r="O24" s="26"/>
      <c r="P24" s="26"/>
      <c r="Q24" s="26"/>
      <c r="R24" s="18">
        <f t="shared" si="0"/>
        <v>15313</v>
      </c>
    </row>
    <row r="25" spans="1:18" s="2" customFormat="1" ht="20.100000000000001" customHeight="1">
      <c r="A25" s="4" t="s">
        <v>6</v>
      </c>
      <c r="B25" s="3" t="s">
        <v>53</v>
      </c>
      <c r="C25" s="4" t="s">
        <v>54</v>
      </c>
      <c r="D25" s="4">
        <v>19.239999999999998</v>
      </c>
      <c r="E25" s="28">
        <v>2011</v>
      </c>
      <c r="F25" s="26">
        <v>1789</v>
      </c>
      <c r="G25" s="26">
        <v>2080</v>
      </c>
      <c r="H25" s="26">
        <v>3299</v>
      </c>
      <c r="I25" s="26">
        <v>2041</v>
      </c>
      <c r="J25" s="26">
        <v>3232</v>
      </c>
      <c r="K25" s="26"/>
      <c r="L25" s="26"/>
      <c r="M25" s="26"/>
      <c r="N25" s="26"/>
      <c r="O25" s="26"/>
      <c r="P25" s="26"/>
      <c r="Q25" s="26"/>
      <c r="R25" s="18">
        <f t="shared" si="0"/>
        <v>12441</v>
      </c>
    </row>
    <row r="26" spans="1:18" s="2" customFormat="1" ht="20.100000000000001" customHeight="1">
      <c r="A26" s="4" t="s">
        <v>6</v>
      </c>
      <c r="B26" s="3" t="s">
        <v>55</v>
      </c>
      <c r="C26" s="4" t="s">
        <v>56</v>
      </c>
      <c r="D26" s="4">
        <v>17.45</v>
      </c>
      <c r="E26" s="28">
        <v>2011</v>
      </c>
      <c r="F26" s="26">
        <v>1786</v>
      </c>
      <c r="G26" s="26">
        <v>2487</v>
      </c>
      <c r="H26" s="26">
        <v>3027</v>
      </c>
      <c r="I26" s="26">
        <v>3278</v>
      </c>
      <c r="J26" s="26">
        <v>2011</v>
      </c>
      <c r="K26" s="26"/>
      <c r="L26" s="26"/>
      <c r="M26" s="26"/>
      <c r="N26" s="26"/>
      <c r="O26" s="26"/>
      <c r="P26" s="26"/>
      <c r="Q26" s="26"/>
      <c r="R26" s="18">
        <f t="shared" si="0"/>
        <v>12589</v>
      </c>
    </row>
    <row r="27" spans="1:18" s="2" customFormat="1" ht="20.100000000000001" customHeight="1">
      <c r="A27" s="4" t="s">
        <v>6</v>
      </c>
      <c r="B27" s="3" t="s">
        <v>57</v>
      </c>
      <c r="C27" s="4" t="s">
        <v>58</v>
      </c>
      <c r="D27" s="4">
        <v>19.329999999999998</v>
      </c>
      <c r="E27" s="28">
        <v>2011</v>
      </c>
      <c r="F27" s="26">
        <v>464</v>
      </c>
      <c r="G27" s="26">
        <v>868</v>
      </c>
      <c r="H27" s="26">
        <v>784</v>
      </c>
      <c r="I27" s="26">
        <v>743</v>
      </c>
      <c r="J27" s="26">
        <v>1229</v>
      </c>
      <c r="K27" s="26"/>
      <c r="L27" s="26"/>
      <c r="M27" s="26"/>
      <c r="N27" s="26"/>
      <c r="O27" s="26"/>
      <c r="P27" s="26"/>
      <c r="Q27" s="26"/>
      <c r="R27" s="18">
        <f t="shared" si="0"/>
        <v>4088</v>
      </c>
    </row>
    <row r="28" spans="1:18" s="2" customFormat="1" ht="20.100000000000001" customHeight="1">
      <c r="A28" s="4" t="s">
        <v>6</v>
      </c>
      <c r="B28" s="3" t="s">
        <v>59</v>
      </c>
      <c r="C28" s="4" t="s">
        <v>60</v>
      </c>
      <c r="D28" s="4">
        <v>28.44</v>
      </c>
      <c r="E28" s="28">
        <v>2011</v>
      </c>
      <c r="F28" s="26">
        <v>2789</v>
      </c>
      <c r="G28" s="26">
        <v>3455</v>
      </c>
      <c r="H28" s="26">
        <v>4603</v>
      </c>
      <c r="I28" s="26">
        <v>4425</v>
      </c>
      <c r="J28" s="26">
        <v>2789</v>
      </c>
      <c r="K28" s="26"/>
      <c r="L28" s="26"/>
      <c r="M28" s="26"/>
      <c r="N28" s="26"/>
      <c r="O28" s="26"/>
      <c r="P28" s="26"/>
      <c r="Q28" s="26"/>
      <c r="R28" s="18">
        <f t="shared" si="0"/>
        <v>18061</v>
      </c>
    </row>
    <row r="29" spans="1:18" s="2" customFormat="1" ht="20.100000000000001" customHeight="1">
      <c r="A29" s="4" t="s">
        <v>6</v>
      </c>
      <c r="B29" s="3" t="s">
        <v>61</v>
      </c>
      <c r="C29" s="4" t="s">
        <v>62</v>
      </c>
      <c r="D29" s="4">
        <v>29.76</v>
      </c>
      <c r="E29" s="28">
        <v>2011</v>
      </c>
      <c r="F29" s="26">
        <v>1588</v>
      </c>
      <c r="G29" s="26">
        <v>3215</v>
      </c>
      <c r="H29" s="26">
        <v>3650</v>
      </c>
      <c r="I29" s="26">
        <v>3316</v>
      </c>
      <c r="J29" s="26">
        <v>2809</v>
      </c>
      <c r="K29" s="26"/>
      <c r="L29" s="26"/>
      <c r="M29" s="26"/>
      <c r="N29" s="26"/>
      <c r="O29" s="26"/>
      <c r="P29" s="26"/>
      <c r="Q29" s="26"/>
      <c r="R29" s="18">
        <f t="shared" si="0"/>
        <v>14578</v>
      </c>
    </row>
    <row r="30" spans="1:18" s="2" customFormat="1" ht="20.100000000000001" customHeight="1">
      <c r="A30" s="4" t="s">
        <v>6</v>
      </c>
      <c r="B30" s="3" t="s">
        <v>63</v>
      </c>
      <c r="C30" s="4" t="s">
        <v>64</v>
      </c>
      <c r="D30" s="4">
        <v>27.43</v>
      </c>
      <c r="E30" s="29">
        <v>2013</v>
      </c>
      <c r="F30" s="26">
        <v>2910</v>
      </c>
      <c r="G30" s="26">
        <v>3586</v>
      </c>
      <c r="H30" s="26">
        <v>4964</v>
      </c>
      <c r="I30" s="26">
        <v>2802</v>
      </c>
      <c r="J30" s="26">
        <v>3882</v>
      </c>
      <c r="K30" s="26"/>
      <c r="L30" s="26"/>
      <c r="M30" s="26"/>
      <c r="N30" s="26"/>
      <c r="O30" s="26"/>
      <c r="P30" s="26"/>
      <c r="Q30" s="26"/>
      <c r="R30" s="18">
        <f t="shared" si="0"/>
        <v>18144</v>
      </c>
    </row>
    <row r="31" spans="1:18" s="2" customFormat="1" ht="20.100000000000001" customHeight="1">
      <c r="A31" s="4" t="s">
        <v>6</v>
      </c>
      <c r="B31" s="3" t="s">
        <v>65</v>
      </c>
      <c r="C31" s="4" t="s">
        <v>66</v>
      </c>
      <c r="D31" s="4">
        <v>12.48</v>
      </c>
      <c r="E31" s="28">
        <v>2013</v>
      </c>
      <c r="F31" s="26">
        <v>983</v>
      </c>
      <c r="G31" s="26">
        <v>1501</v>
      </c>
      <c r="H31" s="26">
        <v>1681</v>
      </c>
      <c r="I31" s="26">
        <v>1176</v>
      </c>
      <c r="J31" s="26">
        <v>1684</v>
      </c>
      <c r="K31" s="26"/>
      <c r="L31" s="26"/>
      <c r="M31" s="26"/>
      <c r="N31" s="26"/>
      <c r="O31" s="26"/>
      <c r="P31" s="26"/>
      <c r="Q31" s="26"/>
      <c r="R31" s="18">
        <f t="shared" si="0"/>
        <v>7025</v>
      </c>
    </row>
    <row r="32" spans="1:18" s="2" customFormat="1" ht="20.100000000000001" customHeight="1">
      <c r="A32" s="4" t="s">
        <v>6</v>
      </c>
      <c r="B32" s="3" t="s">
        <v>67</v>
      </c>
      <c r="C32" s="4" t="s">
        <v>68</v>
      </c>
      <c r="D32" s="4">
        <v>19.12</v>
      </c>
      <c r="E32" s="28">
        <v>2011</v>
      </c>
      <c r="F32" s="26">
        <v>1742</v>
      </c>
      <c r="G32" s="26">
        <v>2068</v>
      </c>
      <c r="H32" s="26">
        <v>2269</v>
      </c>
      <c r="I32" s="26">
        <v>1899</v>
      </c>
      <c r="J32" s="26">
        <v>1948</v>
      </c>
      <c r="K32" s="26"/>
      <c r="L32" s="26"/>
      <c r="M32" s="26"/>
      <c r="N32" s="26"/>
      <c r="O32" s="26"/>
      <c r="P32" s="26"/>
      <c r="Q32" s="26"/>
      <c r="R32" s="18">
        <f t="shared" si="0"/>
        <v>9926</v>
      </c>
    </row>
    <row r="33" spans="1:18" s="2" customFormat="1" ht="20.100000000000001" customHeight="1">
      <c r="A33" s="4" t="s">
        <v>6</v>
      </c>
      <c r="B33" s="3" t="s">
        <v>69</v>
      </c>
      <c r="C33" s="4" t="s">
        <v>70</v>
      </c>
      <c r="D33" s="4">
        <v>18.88</v>
      </c>
      <c r="E33" s="28">
        <v>2011</v>
      </c>
      <c r="F33" s="26">
        <v>1746</v>
      </c>
      <c r="G33" s="26">
        <v>2308</v>
      </c>
      <c r="H33" s="26">
        <v>2676</v>
      </c>
      <c r="I33" s="26">
        <v>1696</v>
      </c>
      <c r="J33" s="26">
        <v>2188</v>
      </c>
      <c r="K33" s="26"/>
      <c r="L33" s="26"/>
      <c r="M33" s="26"/>
      <c r="N33" s="26"/>
      <c r="O33" s="26"/>
      <c r="P33" s="26"/>
      <c r="Q33" s="26"/>
      <c r="R33" s="18">
        <f t="shared" si="0"/>
        <v>10614</v>
      </c>
    </row>
    <row r="34" spans="1:18" s="2" customFormat="1" ht="20.100000000000001" customHeight="1">
      <c r="A34" s="4" t="s">
        <v>6</v>
      </c>
      <c r="B34" s="3" t="s">
        <v>71</v>
      </c>
      <c r="C34" s="4" t="s">
        <v>72</v>
      </c>
      <c r="D34" s="4">
        <v>27.19</v>
      </c>
      <c r="E34" s="28">
        <v>2011</v>
      </c>
      <c r="F34" s="26">
        <v>3107</v>
      </c>
      <c r="G34" s="26">
        <v>5037</v>
      </c>
      <c r="H34" s="26">
        <v>3949</v>
      </c>
      <c r="I34" s="26">
        <v>5205</v>
      </c>
      <c r="J34" s="26">
        <v>3207</v>
      </c>
      <c r="K34" s="26"/>
      <c r="L34" s="26"/>
      <c r="M34" s="26"/>
      <c r="N34" s="26"/>
      <c r="O34" s="26"/>
      <c r="P34" s="26"/>
      <c r="Q34" s="26"/>
      <c r="R34" s="18">
        <f t="shared" si="0"/>
        <v>20505</v>
      </c>
    </row>
    <row r="35" spans="1:18" s="2" customFormat="1" ht="20.100000000000001" customHeight="1">
      <c r="A35" s="4" t="s">
        <v>6</v>
      </c>
      <c r="B35" s="3" t="s">
        <v>73</v>
      </c>
      <c r="C35" s="4" t="s">
        <v>74</v>
      </c>
      <c r="D35" s="4">
        <v>29.83</v>
      </c>
      <c r="E35" s="28">
        <v>2011</v>
      </c>
      <c r="F35" s="26">
        <v>1061</v>
      </c>
      <c r="G35" s="26">
        <v>1468</v>
      </c>
      <c r="H35" s="26">
        <v>1470</v>
      </c>
      <c r="I35" s="26">
        <v>2384</v>
      </c>
      <c r="J35" s="26">
        <v>1598</v>
      </c>
      <c r="K35" s="26"/>
      <c r="L35" s="26"/>
      <c r="M35" s="26"/>
      <c r="N35" s="26"/>
      <c r="O35" s="26"/>
      <c r="P35" s="26"/>
      <c r="Q35" s="26"/>
      <c r="R35" s="18">
        <f t="shared" si="0"/>
        <v>7981</v>
      </c>
    </row>
    <row r="36" spans="1:18" s="2" customFormat="1" ht="20.100000000000001" customHeight="1">
      <c r="A36" s="10" t="s">
        <v>6</v>
      </c>
      <c r="B36" s="9" t="s">
        <v>75</v>
      </c>
      <c r="C36" s="10" t="s">
        <v>76</v>
      </c>
      <c r="D36" s="4">
        <v>18.05</v>
      </c>
      <c r="E36" s="28">
        <v>2011</v>
      </c>
      <c r="F36" s="26">
        <v>959</v>
      </c>
      <c r="G36" s="26">
        <v>2276</v>
      </c>
      <c r="H36" s="26">
        <v>2487</v>
      </c>
      <c r="I36" s="26">
        <v>2110</v>
      </c>
      <c r="J36" s="26">
        <v>2215</v>
      </c>
      <c r="K36" s="26"/>
      <c r="L36" s="26"/>
      <c r="M36" s="26"/>
      <c r="N36" s="26"/>
      <c r="O36" s="26"/>
      <c r="P36" s="26"/>
      <c r="Q36" s="26"/>
      <c r="R36" s="18">
        <f t="shared" si="0"/>
        <v>10047</v>
      </c>
    </row>
    <row r="37" spans="1:18" s="2" customFormat="1" ht="20.100000000000001" customHeight="1">
      <c r="A37" s="10" t="s">
        <v>6</v>
      </c>
      <c r="B37" s="9" t="s">
        <v>77</v>
      </c>
      <c r="C37" s="10" t="s">
        <v>78</v>
      </c>
      <c r="D37" s="4">
        <v>17.690000000000001</v>
      </c>
      <c r="E37" s="28">
        <v>2011</v>
      </c>
      <c r="F37" s="26">
        <v>1851</v>
      </c>
      <c r="G37" s="26">
        <v>2788</v>
      </c>
      <c r="H37" s="26">
        <v>2818</v>
      </c>
      <c r="I37" s="26">
        <v>2300</v>
      </c>
      <c r="J37" s="26">
        <v>2279</v>
      </c>
      <c r="K37" s="26"/>
      <c r="L37" s="26"/>
      <c r="M37" s="26"/>
      <c r="N37" s="26"/>
      <c r="O37" s="26"/>
      <c r="P37" s="26"/>
      <c r="Q37" s="26"/>
      <c r="R37" s="18">
        <f t="shared" si="0"/>
        <v>12036</v>
      </c>
    </row>
    <row r="38" spans="1:18" s="2" customFormat="1" ht="20.100000000000001" customHeight="1">
      <c r="A38" s="10" t="s">
        <v>6</v>
      </c>
      <c r="B38" s="9" t="s">
        <v>79</v>
      </c>
      <c r="C38" s="10" t="s">
        <v>80</v>
      </c>
      <c r="D38" s="4">
        <v>16.920000000000002</v>
      </c>
      <c r="E38" s="28">
        <v>2011</v>
      </c>
      <c r="F38" s="26">
        <v>1449</v>
      </c>
      <c r="G38" s="26">
        <v>1917</v>
      </c>
      <c r="H38" s="26">
        <v>2134</v>
      </c>
      <c r="I38" s="26">
        <v>1760</v>
      </c>
      <c r="J38" s="26">
        <v>1669</v>
      </c>
      <c r="K38" s="26"/>
      <c r="L38" s="26"/>
      <c r="M38" s="26"/>
      <c r="N38" s="26"/>
      <c r="O38" s="26"/>
      <c r="P38" s="26"/>
      <c r="Q38" s="26"/>
      <c r="R38" s="18">
        <f t="shared" si="0"/>
        <v>8929</v>
      </c>
    </row>
    <row r="39" spans="1:18" s="2" customFormat="1" ht="20.100000000000001" customHeight="1">
      <c r="A39" s="10" t="s">
        <v>6</v>
      </c>
      <c r="B39" s="9" t="s">
        <v>81</v>
      </c>
      <c r="C39" s="10" t="s">
        <v>82</v>
      </c>
      <c r="D39" s="4">
        <v>16.91</v>
      </c>
      <c r="E39" s="28">
        <v>2011</v>
      </c>
      <c r="F39" s="26">
        <v>1722</v>
      </c>
      <c r="G39" s="26">
        <v>2379</v>
      </c>
      <c r="H39" s="26">
        <v>2793</v>
      </c>
      <c r="I39" s="26">
        <v>2365</v>
      </c>
      <c r="J39" s="26">
        <v>1787</v>
      </c>
      <c r="K39" s="26"/>
      <c r="L39" s="26"/>
      <c r="M39" s="26"/>
      <c r="N39" s="26"/>
      <c r="O39" s="26"/>
      <c r="P39" s="26"/>
      <c r="Q39" s="26"/>
      <c r="R39" s="18">
        <f t="shared" si="0"/>
        <v>11046</v>
      </c>
    </row>
    <row r="40" spans="1:18" s="2" customFormat="1" ht="20.100000000000001" customHeight="1">
      <c r="A40" s="10" t="s">
        <v>6</v>
      </c>
      <c r="B40" s="9" t="s">
        <v>83</v>
      </c>
      <c r="C40" s="10" t="s">
        <v>84</v>
      </c>
      <c r="D40" s="4">
        <v>29.03</v>
      </c>
      <c r="E40" s="28">
        <v>2011</v>
      </c>
      <c r="F40" s="26">
        <v>2651</v>
      </c>
      <c r="G40" s="26">
        <v>4205</v>
      </c>
      <c r="H40" s="26">
        <v>3938</v>
      </c>
      <c r="I40" s="26">
        <v>4817</v>
      </c>
      <c r="J40" s="26">
        <v>3337</v>
      </c>
      <c r="K40" s="26"/>
      <c r="L40" s="26"/>
      <c r="M40" s="26"/>
      <c r="N40" s="26"/>
      <c r="O40" s="26"/>
      <c r="P40" s="26"/>
      <c r="Q40" s="26"/>
      <c r="R40" s="18">
        <f t="shared" si="0"/>
        <v>18948</v>
      </c>
    </row>
    <row r="41" spans="1:18" s="2" customFormat="1" ht="20.100000000000001" customHeight="1">
      <c r="A41" s="10" t="s">
        <v>6</v>
      </c>
      <c r="B41" s="9" t="s">
        <v>85</v>
      </c>
      <c r="C41" s="10" t="s">
        <v>86</v>
      </c>
      <c r="D41" s="4">
        <v>29.67</v>
      </c>
      <c r="E41" s="28">
        <v>2011</v>
      </c>
      <c r="F41" s="26">
        <v>1975</v>
      </c>
      <c r="G41" s="26">
        <v>4324</v>
      </c>
      <c r="H41" s="26">
        <v>3309</v>
      </c>
      <c r="I41" s="26">
        <v>3490</v>
      </c>
      <c r="J41" s="26">
        <v>2723</v>
      </c>
      <c r="K41" s="26"/>
      <c r="L41" s="26"/>
      <c r="M41" s="26"/>
      <c r="N41" s="26"/>
      <c r="O41" s="26"/>
      <c r="P41" s="26"/>
      <c r="Q41" s="26"/>
      <c r="R41" s="18">
        <f t="shared" si="0"/>
        <v>15821</v>
      </c>
    </row>
    <row r="42" spans="1:18" s="2" customFormat="1" ht="20.100000000000001" customHeight="1">
      <c r="A42" s="10" t="s">
        <v>6</v>
      </c>
      <c r="B42" s="9" t="s">
        <v>87</v>
      </c>
      <c r="C42" s="10" t="s">
        <v>88</v>
      </c>
      <c r="D42" s="4">
        <v>28.75</v>
      </c>
      <c r="E42" s="28">
        <v>2011</v>
      </c>
      <c r="F42" s="26">
        <v>1888</v>
      </c>
      <c r="G42" s="26">
        <v>2561</v>
      </c>
      <c r="H42" s="26">
        <v>2043</v>
      </c>
      <c r="I42" s="26">
        <v>2240</v>
      </c>
      <c r="J42" s="26">
        <v>2115</v>
      </c>
      <c r="K42" s="26"/>
      <c r="L42" s="26"/>
      <c r="M42" s="26"/>
      <c r="N42" s="26"/>
      <c r="O42" s="26"/>
      <c r="P42" s="26"/>
      <c r="Q42" s="26"/>
      <c r="R42" s="18">
        <f t="shared" si="0"/>
        <v>10847</v>
      </c>
    </row>
    <row r="43" spans="1:18" s="2" customFormat="1" ht="15">
      <c r="A43" s="10" t="s">
        <v>89</v>
      </c>
      <c r="B43" s="9" t="s">
        <v>90</v>
      </c>
      <c r="C43" s="10" t="s">
        <v>91</v>
      </c>
      <c r="D43" s="4">
        <v>2.9</v>
      </c>
      <c r="E43" s="28">
        <v>2013</v>
      </c>
      <c r="F43" s="26">
        <v>226</v>
      </c>
      <c r="G43" s="26">
        <v>198</v>
      </c>
      <c r="H43" s="26">
        <v>205</v>
      </c>
      <c r="I43" s="26">
        <v>295</v>
      </c>
      <c r="J43" s="26">
        <v>236</v>
      </c>
      <c r="K43" s="26"/>
      <c r="L43" s="26"/>
      <c r="M43" s="26"/>
      <c r="N43" s="26"/>
      <c r="O43" s="26"/>
      <c r="P43" s="26"/>
      <c r="Q43" s="26"/>
      <c r="R43" s="18">
        <f t="shared" si="0"/>
        <v>1160</v>
      </c>
    </row>
    <row r="44" spans="1:18" s="2" customFormat="1" ht="15">
      <c r="A44" s="10" t="s">
        <v>89</v>
      </c>
      <c r="B44" s="9" t="s">
        <v>92</v>
      </c>
      <c r="C44" s="10" t="s">
        <v>93</v>
      </c>
      <c r="D44" s="4">
        <v>8.11</v>
      </c>
      <c r="E44" s="28">
        <v>2013</v>
      </c>
      <c r="F44" s="26">
        <v>681</v>
      </c>
      <c r="G44" s="26">
        <v>549</v>
      </c>
      <c r="H44" s="26">
        <v>675</v>
      </c>
      <c r="I44" s="26">
        <v>803</v>
      </c>
      <c r="J44" s="26">
        <v>548</v>
      </c>
      <c r="K44" s="26"/>
      <c r="L44" s="26"/>
      <c r="M44" s="26"/>
      <c r="N44" s="26"/>
      <c r="O44" s="26"/>
      <c r="P44" s="26"/>
      <c r="Q44" s="26"/>
      <c r="R44" s="18">
        <f t="shared" si="0"/>
        <v>3256</v>
      </c>
    </row>
    <row r="45" spans="1:18" s="2" customFormat="1" ht="15">
      <c r="A45" s="10" t="s">
        <v>89</v>
      </c>
      <c r="B45" s="9" t="s">
        <v>94</v>
      </c>
      <c r="C45" s="10" t="s">
        <v>95</v>
      </c>
      <c r="D45" s="4">
        <v>13.73</v>
      </c>
      <c r="E45" s="28">
        <v>2013</v>
      </c>
      <c r="F45" s="26">
        <v>1251</v>
      </c>
      <c r="G45" s="26">
        <v>1442</v>
      </c>
      <c r="H45" s="26">
        <v>1580</v>
      </c>
      <c r="I45" s="26">
        <v>1438</v>
      </c>
      <c r="J45" s="26">
        <v>1679</v>
      </c>
      <c r="K45" s="26"/>
      <c r="L45" s="26"/>
      <c r="M45" s="26"/>
      <c r="N45" s="26"/>
      <c r="O45" s="26"/>
      <c r="P45" s="26"/>
      <c r="Q45" s="26"/>
      <c r="R45" s="18">
        <f t="shared" si="0"/>
        <v>7390</v>
      </c>
    </row>
    <row r="46" spans="1:18" s="2" customFormat="1" ht="15">
      <c r="A46" s="10" t="s">
        <v>89</v>
      </c>
      <c r="B46" s="9" t="s">
        <v>96</v>
      </c>
      <c r="C46" s="10" t="s">
        <v>97</v>
      </c>
      <c r="D46" s="4">
        <v>18.97</v>
      </c>
      <c r="E46" s="28">
        <v>2013</v>
      </c>
      <c r="F46" s="26">
        <v>1915</v>
      </c>
      <c r="G46" s="26">
        <v>2243</v>
      </c>
      <c r="H46" s="26">
        <v>2274</v>
      </c>
      <c r="I46" s="26">
        <v>1787</v>
      </c>
      <c r="J46" s="26">
        <v>1815</v>
      </c>
      <c r="K46" s="26"/>
      <c r="L46" s="26"/>
      <c r="M46" s="26"/>
      <c r="N46" s="26"/>
      <c r="O46" s="26"/>
      <c r="P46" s="26"/>
      <c r="Q46" s="26"/>
      <c r="R46" s="18">
        <f t="shared" si="0"/>
        <v>10034</v>
      </c>
    </row>
    <row r="47" spans="1:18" s="2" customFormat="1" ht="15">
      <c r="A47" s="10" t="s">
        <v>89</v>
      </c>
      <c r="B47" s="9" t="s">
        <v>98</v>
      </c>
      <c r="C47" s="10" t="s">
        <v>99</v>
      </c>
      <c r="D47" s="4">
        <v>20.11</v>
      </c>
      <c r="E47" s="28">
        <v>2013</v>
      </c>
      <c r="F47" s="26">
        <v>2066</v>
      </c>
      <c r="G47" s="26">
        <v>1983</v>
      </c>
      <c r="H47" s="26">
        <v>2370</v>
      </c>
      <c r="I47" s="26">
        <v>2346</v>
      </c>
      <c r="J47" s="26">
        <v>2804</v>
      </c>
      <c r="K47" s="26"/>
      <c r="L47" s="26"/>
      <c r="M47" s="26"/>
      <c r="N47" s="26"/>
      <c r="O47" s="26"/>
      <c r="P47" s="26"/>
      <c r="Q47" s="26"/>
      <c r="R47" s="18">
        <f t="shared" si="0"/>
        <v>11569</v>
      </c>
    </row>
    <row r="48" spans="1:18" s="2" customFormat="1" ht="15">
      <c r="A48" s="10" t="s">
        <v>89</v>
      </c>
      <c r="B48" s="9" t="s">
        <v>100</v>
      </c>
      <c r="C48" s="10" t="s">
        <v>101</v>
      </c>
      <c r="D48" s="4">
        <v>19.7</v>
      </c>
      <c r="E48" s="28">
        <v>2013</v>
      </c>
      <c r="F48" s="26">
        <v>1759</v>
      </c>
      <c r="G48" s="26">
        <v>2380</v>
      </c>
      <c r="H48" s="26">
        <v>2283</v>
      </c>
      <c r="I48" s="26">
        <v>1927</v>
      </c>
      <c r="J48" s="26">
        <v>2328</v>
      </c>
      <c r="K48" s="26"/>
      <c r="L48" s="26"/>
      <c r="M48" s="26"/>
      <c r="N48" s="26"/>
      <c r="O48" s="26"/>
      <c r="P48" s="26"/>
      <c r="Q48" s="26"/>
      <c r="R48" s="18">
        <f t="shared" si="0"/>
        <v>10677</v>
      </c>
    </row>
    <row r="49" spans="1:18" s="2" customFormat="1" ht="15">
      <c r="A49" s="10" t="s">
        <v>89</v>
      </c>
      <c r="B49" s="9" t="s">
        <v>102</v>
      </c>
      <c r="C49" s="10" t="s">
        <v>103</v>
      </c>
      <c r="D49" s="4">
        <v>15.78</v>
      </c>
      <c r="E49" s="28">
        <v>2013</v>
      </c>
      <c r="F49" s="26">
        <v>1292</v>
      </c>
      <c r="G49" s="26">
        <v>1252</v>
      </c>
      <c r="H49" s="26">
        <v>2052</v>
      </c>
      <c r="I49" s="26">
        <v>1234</v>
      </c>
      <c r="J49" s="26">
        <v>1737</v>
      </c>
      <c r="K49" s="26"/>
      <c r="L49" s="26"/>
      <c r="M49" s="26"/>
      <c r="N49" s="26"/>
      <c r="O49" s="26"/>
      <c r="P49" s="26"/>
      <c r="Q49" s="26"/>
      <c r="R49" s="18">
        <f t="shared" si="0"/>
        <v>7567</v>
      </c>
    </row>
    <row r="50" spans="1:18" s="2" customFormat="1" ht="15">
      <c r="A50" s="10" t="s">
        <v>89</v>
      </c>
      <c r="B50" s="9" t="s">
        <v>104</v>
      </c>
      <c r="C50" s="10" t="s">
        <v>105</v>
      </c>
      <c r="D50" s="4">
        <v>15.24</v>
      </c>
      <c r="E50" s="28">
        <v>2013</v>
      </c>
      <c r="F50" s="26">
        <v>975</v>
      </c>
      <c r="G50" s="26">
        <v>997</v>
      </c>
      <c r="H50" s="26">
        <v>1074</v>
      </c>
      <c r="I50" s="26">
        <v>983</v>
      </c>
      <c r="J50" s="26">
        <v>1814</v>
      </c>
      <c r="K50" s="26"/>
      <c r="L50" s="26"/>
      <c r="M50" s="26"/>
      <c r="N50" s="26"/>
      <c r="O50" s="26"/>
      <c r="P50" s="26"/>
      <c r="Q50" s="26"/>
      <c r="R50" s="18">
        <f t="shared" si="0"/>
        <v>5843</v>
      </c>
    </row>
    <row r="51" spans="1:18" s="2" customFormat="1" ht="15">
      <c r="A51" s="10" t="s">
        <v>89</v>
      </c>
      <c r="B51" s="9" t="s">
        <v>106</v>
      </c>
      <c r="C51" s="10" t="s">
        <v>107</v>
      </c>
      <c r="D51" s="4">
        <v>13.99</v>
      </c>
      <c r="E51" s="28">
        <v>2013</v>
      </c>
      <c r="F51" s="26">
        <v>1390</v>
      </c>
      <c r="G51" s="26">
        <v>1707</v>
      </c>
      <c r="H51" s="26">
        <v>1894</v>
      </c>
      <c r="I51" s="26">
        <v>1562</v>
      </c>
      <c r="J51" s="26">
        <v>2002</v>
      </c>
      <c r="K51" s="26"/>
      <c r="L51" s="26"/>
      <c r="M51" s="26"/>
      <c r="N51" s="26"/>
      <c r="O51" s="26"/>
      <c r="P51" s="26"/>
      <c r="Q51" s="26"/>
      <c r="R51" s="18">
        <f t="shared" si="0"/>
        <v>8555</v>
      </c>
    </row>
    <row r="52" spans="1:18" s="2" customFormat="1" ht="15">
      <c r="A52" s="10" t="s">
        <v>89</v>
      </c>
      <c r="B52" s="9" t="s">
        <v>108</v>
      </c>
      <c r="C52" s="10" t="s">
        <v>109</v>
      </c>
      <c r="D52" s="4">
        <v>6.19</v>
      </c>
      <c r="E52" s="28">
        <v>2014</v>
      </c>
      <c r="F52" s="26">
        <v>483</v>
      </c>
      <c r="G52" s="26">
        <v>421</v>
      </c>
      <c r="H52" s="26">
        <v>566</v>
      </c>
      <c r="I52" s="26">
        <v>472</v>
      </c>
      <c r="J52" s="26">
        <v>564</v>
      </c>
      <c r="K52" s="26"/>
      <c r="L52" s="26"/>
      <c r="M52" s="26"/>
      <c r="N52" s="26"/>
      <c r="O52" s="26"/>
      <c r="P52" s="26"/>
      <c r="Q52" s="26"/>
      <c r="R52" s="18">
        <f t="shared" si="0"/>
        <v>2506</v>
      </c>
    </row>
    <row r="53" spans="1:18" s="2" customFormat="1" ht="15">
      <c r="A53" s="10" t="s">
        <v>89</v>
      </c>
      <c r="B53" s="9" t="s">
        <v>110</v>
      </c>
      <c r="C53" s="10" t="s">
        <v>111</v>
      </c>
      <c r="D53" s="4">
        <v>12.1</v>
      </c>
      <c r="E53" s="28">
        <v>2014</v>
      </c>
      <c r="F53" s="26">
        <v>626</v>
      </c>
      <c r="G53" s="26">
        <v>600</v>
      </c>
      <c r="H53" s="26">
        <v>637</v>
      </c>
      <c r="I53" s="26">
        <v>524</v>
      </c>
      <c r="J53" s="26">
        <v>816</v>
      </c>
      <c r="K53" s="26"/>
      <c r="L53" s="26"/>
      <c r="M53" s="26"/>
      <c r="N53" s="26"/>
      <c r="O53" s="26"/>
      <c r="P53" s="26"/>
      <c r="Q53" s="26"/>
      <c r="R53" s="18">
        <f t="shared" si="0"/>
        <v>3203</v>
      </c>
    </row>
    <row r="54" spans="1:18" s="2" customFormat="1" ht="15">
      <c r="A54" s="10" t="s">
        <v>89</v>
      </c>
      <c r="B54" s="9" t="s">
        <v>112</v>
      </c>
      <c r="C54" s="10" t="s">
        <v>113</v>
      </c>
      <c r="D54" s="4">
        <v>16.170000000000002</v>
      </c>
      <c r="E54" s="28">
        <v>2014</v>
      </c>
      <c r="F54" s="26">
        <v>1231</v>
      </c>
      <c r="G54" s="26">
        <v>1362</v>
      </c>
      <c r="H54" s="26">
        <v>1278</v>
      </c>
      <c r="I54" s="26">
        <v>1194</v>
      </c>
      <c r="J54" s="26">
        <v>1335</v>
      </c>
      <c r="K54" s="26"/>
      <c r="L54" s="26"/>
      <c r="M54" s="26"/>
      <c r="N54" s="26"/>
      <c r="O54" s="26"/>
      <c r="P54" s="26"/>
      <c r="Q54" s="26"/>
      <c r="R54" s="18">
        <f t="shared" si="0"/>
        <v>6400</v>
      </c>
    </row>
    <row r="55" spans="1:18" s="2" customFormat="1" ht="15">
      <c r="A55" s="10" t="s">
        <v>89</v>
      </c>
      <c r="B55" s="9" t="s">
        <v>114</v>
      </c>
      <c r="C55" s="10" t="s">
        <v>115</v>
      </c>
      <c r="D55" s="4">
        <v>1.8</v>
      </c>
      <c r="E55" s="29">
        <v>2013</v>
      </c>
      <c r="F55" s="26">
        <v>63</v>
      </c>
      <c r="G55" s="26">
        <v>35</v>
      </c>
      <c r="H55" s="26">
        <v>64</v>
      </c>
      <c r="I55" s="26">
        <v>214</v>
      </c>
      <c r="J55" s="26">
        <v>0</v>
      </c>
      <c r="K55" s="26"/>
      <c r="L55" s="26"/>
      <c r="M55" s="26"/>
      <c r="N55" s="26"/>
      <c r="O55" s="26"/>
      <c r="P55" s="26"/>
      <c r="Q55" s="26"/>
      <c r="R55" s="18">
        <f t="shared" si="0"/>
        <v>376</v>
      </c>
    </row>
    <row r="56" spans="1:18" s="2" customFormat="1" ht="15">
      <c r="A56" s="10" t="s">
        <v>89</v>
      </c>
      <c r="B56" s="9" t="s">
        <v>116</v>
      </c>
      <c r="C56" s="10" t="s">
        <v>117</v>
      </c>
      <c r="D56" s="4">
        <v>11.94</v>
      </c>
      <c r="E56" s="29">
        <v>2014</v>
      </c>
      <c r="F56" s="26">
        <v>1056</v>
      </c>
      <c r="G56" s="26">
        <v>934</v>
      </c>
      <c r="H56" s="26">
        <v>760</v>
      </c>
      <c r="I56" s="26">
        <v>739</v>
      </c>
      <c r="J56" s="26">
        <v>763</v>
      </c>
      <c r="K56" s="26"/>
      <c r="L56" s="26"/>
      <c r="M56" s="26"/>
      <c r="N56" s="26"/>
      <c r="O56" s="26"/>
      <c r="P56" s="26"/>
      <c r="Q56" s="26"/>
      <c r="R56" s="18">
        <f t="shared" si="0"/>
        <v>4252</v>
      </c>
    </row>
    <row r="57" spans="1:18" s="2" customFormat="1" ht="15">
      <c r="A57" s="10" t="s">
        <v>89</v>
      </c>
      <c r="B57" s="9" t="s">
        <v>118</v>
      </c>
      <c r="C57" s="10" t="s">
        <v>119</v>
      </c>
      <c r="D57" s="4">
        <v>5.65</v>
      </c>
      <c r="E57" s="29">
        <v>2014</v>
      </c>
      <c r="F57" s="26">
        <v>411</v>
      </c>
      <c r="G57" s="26">
        <v>388</v>
      </c>
      <c r="H57" s="26">
        <v>401</v>
      </c>
      <c r="I57" s="26">
        <v>398</v>
      </c>
      <c r="J57" s="26">
        <v>312</v>
      </c>
      <c r="K57" s="26"/>
      <c r="L57" s="26"/>
      <c r="M57" s="26"/>
      <c r="N57" s="26"/>
      <c r="O57" s="26"/>
      <c r="P57" s="26"/>
      <c r="Q57" s="26"/>
      <c r="R57" s="18">
        <f t="shared" si="0"/>
        <v>1910</v>
      </c>
    </row>
    <row r="58" spans="1:18" s="2" customFormat="1" ht="15">
      <c r="A58" s="10" t="s">
        <v>89</v>
      </c>
      <c r="B58" s="9" t="s">
        <v>120</v>
      </c>
      <c r="C58" s="10" t="s">
        <v>121</v>
      </c>
      <c r="D58" s="4">
        <v>14.5</v>
      </c>
      <c r="E58" s="29">
        <v>2013</v>
      </c>
      <c r="F58" s="26">
        <v>1307</v>
      </c>
      <c r="G58" s="26">
        <v>1615</v>
      </c>
      <c r="H58" s="26">
        <v>1586</v>
      </c>
      <c r="I58" s="26">
        <v>921</v>
      </c>
      <c r="J58" s="26">
        <v>1431</v>
      </c>
      <c r="K58" s="26"/>
      <c r="L58" s="26"/>
      <c r="M58" s="26"/>
      <c r="N58" s="26"/>
      <c r="O58" s="26"/>
      <c r="P58" s="26"/>
      <c r="Q58" s="26"/>
      <c r="R58" s="18">
        <f t="shared" si="0"/>
        <v>6860</v>
      </c>
    </row>
    <row r="59" spans="1:18" s="2" customFormat="1" ht="15">
      <c r="A59" s="10" t="s">
        <v>89</v>
      </c>
      <c r="B59" s="9" t="s">
        <v>122</v>
      </c>
      <c r="C59" s="10" t="s">
        <v>123</v>
      </c>
      <c r="D59" s="4">
        <v>9.76</v>
      </c>
      <c r="E59" s="29">
        <v>2014</v>
      </c>
      <c r="F59" s="26">
        <v>433</v>
      </c>
      <c r="G59" s="26">
        <v>632</v>
      </c>
      <c r="H59" s="26">
        <v>609</v>
      </c>
      <c r="I59" s="26">
        <v>409</v>
      </c>
      <c r="J59" s="26">
        <v>503</v>
      </c>
      <c r="K59" s="26"/>
      <c r="L59" s="26"/>
      <c r="M59" s="26"/>
      <c r="N59" s="26"/>
      <c r="O59" s="26"/>
      <c r="P59" s="26"/>
      <c r="Q59" s="26"/>
      <c r="R59" s="18">
        <f t="shared" si="0"/>
        <v>2586</v>
      </c>
    </row>
    <row r="60" spans="1:18" s="2" customFormat="1" ht="15">
      <c r="A60" s="10" t="s">
        <v>89</v>
      </c>
      <c r="B60" s="9" t="s">
        <v>124</v>
      </c>
      <c r="C60" s="10" t="s">
        <v>125</v>
      </c>
      <c r="D60" s="4">
        <v>11.17</v>
      </c>
      <c r="E60" s="29">
        <v>2013</v>
      </c>
      <c r="F60" s="26">
        <v>1010</v>
      </c>
      <c r="G60" s="26">
        <v>1210</v>
      </c>
      <c r="H60" s="26">
        <v>1264</v>
      </c>
      <c r="I60" s="26">
        <v>677</v>
      </c>
      <c r="J60" s="26">
        <v>1488</v>
      </c>
      <c r="K60" s="26"/>
      <c r="L60" s="26"/>
      <c r="M60" s="26"/>
      <c r="N60" s="26"/>
      <c r="O60" s="26"/>
      <c r="P60" s="26"/>
      <c r="Q60" s="26"/>
      <c r="R60" s="18">
        <f t="shared" si="0"/>
        <v>5649</v>
      </c>
    </row>
    <row r="61" spans="1:18" s="2" customFormat="1" ht="15">
      <c r="A61" s="10" t="s">
        <v>89</v>
      </c>
      <c r="B61" s="9" t="s">
        <v>126</v>
      </c>
      <c r="C61" s="10" t="s">
        <v>127</v>
      </c>
      <c r="D61" s="4">
        <v>8.92</v>
      </c>
      <c r="E61" s="29">
        <v>2014</v>
      </c>
      <c r="F61" s="26">
        <v>668</v>
      </c>
      <c r="G61" s="26">
        <v>749</v>
      </c>
      <c r="H61" s="26">
        <v>521</v>
      </c>
      <c r="I61" s="26">
        <v>462</v>
      </c>
      <c r="J61" s="26">
        <v>926</v>
      </c>
      <c r="K61" s="26"/>
      <c r="L61" s="26"/>
      <c r="M61" s="26"/>
      <c r="N61" s="26"/>
      <c r="O61" s="26"/>
      <c r="P61" s="26"/>
      <c r="Q61" s="26"/>
      <c r="R61" s="18">
        <f t="shared" si="0"/>
        <v>3326</v>
      </c>
    </row>
    <row r="62" spans="1:18" s="2" customFormat="1" ht="15">
      <c r="A62" s="10" t="s">
        <v>89</v>
      </c>
      <c r="B62" s="9" t="s">
        <v>128</v>
      </c>
      <c r="C62" s="10" t="s">
        <v>129</v>
      </c>
      <c r="D62" s="4">
        <v>11.39</v>
      </c>
      <c r="E62" s="29">
        <v>2013</v>
      </c>
      <c r="F62" s="26">
        <v>998</v>
      </c>
      <c r="G62" s="26">
        <v>1628</v>
      </c>
      <c r="H62" s="26">
        <v>1644</v>
      </c>
      <c r="I62" s="26">
        <v>954</v>
      </c>
      <c r="J62" s="26">
        <v>1313</v>
      </c>
      <c r="K62" s="26"/>
      <c r="L62" s="26"/>
      <c r="M62" s="26"/>
      <c r="N62" s="26"/>
      <c r="O62" s="26"/>
      <c r="P62" s="26"/>
      <c r="Q62" s="26"/>
      <c r="R62" s="18">
        <f t="shared" si="0"/>
        <v>6537</v>
      </c>
    </row>
    <row r="63" spans="1:18" s="2" customFormat="1" ht="15">
      <c r="A63" s="10" t="s">
        <v>89</v>
      </c>
      <c r="B63" s="9" t="s">
        <v>130</v>
      </c>
      <c r="C63" s="10" t="s">
        <v>131</v>
      </c>
      <c r="D63" s="4">
        <v>20.83</v>
      </c>
      <c r="E63" s="29">
        <v>2013</v>
      </c>
      <c r="F63" s="26">
        <v>1831</v>
      </c>
      <c r="G63" s="26">
        <v>2105</v>
      </c>
      <c r="H63" s="26">
        <v>2239</v>
      </c>
      <c r="I63" s="26">
        <v>1407</v>
      </c>
      <c r="J63" s="26">
        <v>2681</v>
      </c>
      <c r="K63" s="26"/>
      <c r="L63" s="26"/>
      <c r="M63" s="26"/>
      <c r="N63" s="26"/>
      <c r="O63" s="26"/>
      <c r="P63" s="26"/>
      <c r="Q63" s="26"/>
      <c r="R63" s="18">
        <f t="shared" si="0"/>
        <v>10263</v>
      </c>
    </row>
    <row r="64" spans="1:18" s="2" customFormat="1" ht="15">
      <c r="A64" s="10" t="s">
        <v>89</v>
      </c>
      <c r="B64" s="9" t="s">
        <v>132</v>
      </c>
      <c r="C64" s="10" t="s">
        <v>133</v>
      </c>
      <c r="D64" s="4">
        <v>22.01</v>
      </c>
      <c r="E64" s="29">
        <v>2013</v>
      </c>
      <c r="F64" s="26">
        <v>2142</v>
      </c>
      <c r="G64" s="26">
        <v>2626</v>
      </c>
      <c r="H64" s="26">
        <v>2075</v>
      </c>
      <c r="I64" s="26">
        <v>1609</v>
      </c>
      <c r="J64" s="26">
        <v>2579</v>
      </c>
      <c r="K64" s="26"/>
      <c r="L64" s="26"/>
      <c r="M64" s="26"/>
      <c r="N64" s="26"/>
      <c r="O64" s="26"/>
      <c r="P64" s="26"/>
      <c r="Q64" s="26"/>
      <c r="R64" s="18">
        <f t="shared" si="0"/>
        <v>11031</v>
      </c>
    </row>
    <row r="65" spans="1:18" s="2" customFormat="1" ht="15">
      <c r="A65" s="10" t="s">
        <v>89</v>
      </c>
      <c r="B65" s="9" t="s">
        <v>134</v>
      </c>
      <c r="C65" s="10" t="s">
        <v>135</v>
      </c>
      <c r="D65" s="4">
        <v>16.87</v>
      </c>
      <c r="E65" s="29">
        <v>2013</v>
      </c>
      <c r="F65" s="26">
        <v>1058</v>
      </c>
      <c r="G65" s="26">
        <v>2089</v>
      </c>
      <c r="H65" s="26">
        <v>1400</v>
      </c>
      <c r="I65" s="26">
        <v>929</v>
      </c>
      <c r="J65" s="26">
        <v>1911</v>
      </c>
      <c r="K65" s="26"/>
      <c r="L65" s="26"/>
      <c r="M65" s="26"/>
      <c r="N65" s="26"/>
      <c r="O65" s="26"/>
      <c r="P65" s="26"/>
      <c r="Q65" s="26"/>
      <c r="R65" s="18">
        <f t="shared" si="0"/>
        <v>7387</v>
      </c>
    </row>
    <row r="66" spans="1:18" s="2" customFormat="1" ht="15">
      <c r="A66" s="10" t="s">
        <v>89</v>
      </c>
      <c r="B66" s="9" t="s">
        <v>136</v>
      </c>
      <c r="C66" s="10" t="s">
        <v>137</v>
      </c>
      <c r="D66" s="4">
        <v>14.05</v>
      </c>
      <c r="E66" s="29">
        <v>2014</v>
      </c>
      <c r="F66" s="26">
        <v>912</v>
      </c>
      <c r="G66" s="26">
        <v>705</v>
      </c>
      <c r="H66" s="26">
        <v>1205</v>
      </c>
      <c r="I66" s="26">
        <v>747</v>
      </c>
      <c r="J66" s="26">
        <v>1464</v>
      </c>
      <c r="K66" s="26"/>
      <c r="L66" s="26"/>
      <c r="M66" s="26"/>
      <c r="N66" s="26"/>
      <c r="O66" s="26"/>
      <c r="P66" s="26"/>
      <c r="Q66" s="26"/>
      <c r="R66" s="18">
        <f t="shared" si="0"/>
        <v>5033</v>
      </c>
    </row>
    <row r="67" spans="1:18" s="2" customFormat="1" ht="15">
      <c r="A67" s="10" t="s">
        <v>89</v>
      </c>
      <c r="B67" s="9" t="s">
        <v>138</v>
      </c>
      <c r="C67" s="10" t="s">
        <v>139</v>
      </c>
      <c r="D67" s="4">
        <v>2.4500000000000002</v>
      </c>
      <c r="E67" s="29">
        <v>2013</v>
      </c>
      <c r="F67" s="26">
        <v>78</v>
      </c>
      <c r="G67" s="26">
        <v>296</v>
      </c>
      <c r="H67" s="26">
        <v>393</v>
      </c>
      <c r="I67" s="26">
        <v>130</v>
      </c>
      <c r="J67" s="26">
        <v>230</v>
      </c>
      <c r="K67" s="26"/>
      <c r="L67" s="26"/>
      <c r="M67" s="26"/>
      <c r="N67" s="26"/>
      <c r="O67" s="26"/>
      <c r="P67" s="26"/>
      <c r="Q67" s="26"/>
      <c r="R67" s="18">
        <f t="shared" ref="R67:R130" si="1">SUM(F67:Q67)</f>
        <v>1127</v>
      </c>
    </row>
    <row r="68" spans="1:18" s="2" customFormat="1" ht="15">
      <c r="A68" s="10" t="s">
        <v>89</v>
      </c>
      <c r="B68" s="9" t="s">
        <v>140</v>
      </c>
      <c r="C68" s="10" t="s">
        <v>141</v>
      </c>
      <c r="D68" s="4">
        <v>11.43</v>
      </c>
      <c r="E68" s="28">
        <v>2014</v>
      </c>
      <c r="F68" s="26">
        <v>1013</v>
      </c>
      <c r="G68" s="26">
        <v>1260</v>
      </c>
      <c r="H68" s="26">
        <v>530</v>
      </c>
      <c r="I68" s="26">
        <v>940</v>
      </c>
      <c r="J68" s="26">
        <v>1299</v>
      </c>
      <c r="K68" s="26"/>
      <c r="L68" s="26"/>
      <c r="M68" s="26"/>
      <c r="N68" s="26"/>
      <c r="O68" s="26"/>
      <c r="P68" s="26"/>
      <c r="Q68" s="26"/>
      <c r="R68" s="18">
        <f t="shared" si="1"/>
        <v>5042</v>
      </c>
    </row>
    <row r="69" spans="1:18" s="2" customFormat="1" ht="15">
      <c r="A69" s="10" t="s">
        <v>89</v>
      </c>
      <c r="B69" s="9" t="s">
        <v>142</v>
      </c>
      <c r="C69" s="10" t="s">
        <v>143</v>
      </c>
      <c r="D69" s="4">
        <v>9.64</v>
      </c>
      <c r="E69" s="28">
        <v>2014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/>
      <c r="L69" s="26"/>
      <c r="M69" s="26"/>
      <c r="N69" s="26"/>
      <c r="O69" s="26"/>
      <c r="P69" s="26"/>
      <c r="Q69" s="26"/>
      <c r="R69" s="18">
        <f t="shared" si="1"/>
        <v>0</v>
      </c>
    </row>
    <row r="70" spans="1:18" s="2" customFormat="1" ht="15">
      <c r="A70" s="10" t="s">
        <v>89</v>
      </c>
      <c r="B70" s="9" t="s">
        <v>144</v>
      </c>
      <c r="C70" s="10" t="s">
        <v>145</v>
      </c>
      <c r="D70" s="4">
        <v>12.84</v>
      </c>
      <c r="E70" s="28">
        <v>2014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/>
      <c r="L70" s="26"/>
      <c r="M70" s="26"/>
      <c r="N70" s="26"/>
      <c r="O70" s="26"/>
      <c r="P70" s="26"/>
      <c r="Q70" s="26"/>
      <c r="R70" s="18">
        <f t="shared" si="1"/>
        <v>0</v>
      </c>
    </row>
    <row r="71" spans="1:18" s="2" customFormat="1" ht="15">
      <c r="A71" s="10" t="s">
        <v>89</v>
      </c>
      <c r="B71" s="9" t="s">
        <v>146</v>
      </c>
      <c r="C71" s="10" t="s">
        <v>147</v>
      </c>
      <c r="D71" s="4">
        <v>17.38</v>
      </c>
      <c r="E71" s="28">
        <v>2013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/>
      <c r="L71" s="26"/>
      <c r="M71" s="26"/>
      <c r="N71" s="26"/>
      <c r="O71" s="26"/>
      <c r="P71" s="26"/>
      <c r="Q71" s="26"/>
      <c r="R71" s="18">
        <f t="shared" si="1"/>
        <v>0</v>
      </c>
    </row>
    <row r="72" spans="1:18" s="2" customFormat="1" ht="15">
      <c r="A72" s="10" t="s">
        <v>89</v>
      </c>
      <c r="B72" s="9" t="s">
        <v>148</v>
      </c>
      <c r="C72" s="10" t="s">
        <v>149</v>
      </c>
      <c r="D72" s="4">
        <v>18.41</v>
      </c>
      <c r="E72" s="28">
        <v>2013</v>
      </c>
      <c r="F72" s="26">
        <v>1084</v>
      </c>
      <c r="G72" s="26">
        <v>1217</v>
      </c>
      <c r="H72" s="26">
        <v>1293</v>
      </c>
      <c r="I72" s="26">
        <v>1037</v>
      </c>
      <c r="J72" s="26">
        <v>1921</v>
      </c>
      <c r="K72" s="26"/>
      <c r="L72" s="26"/>
      <c r="M72" s="26"/>
      <c r="N72" s="26"/>
      <c r="O72" s="26"/>
      <c r="P72" s="26"/>
      <c r="Q72" s="26"/>
      <c r="R72" s="18">
        <f t="shared" si="1"/>
        <v>6552</v>
      </c>
    </row>
    <row r="73" spans="1:18" s="2" customFormat="1" ht="15">
      <c r="A73" s="10" t="s">
        <v>89</v>
      </c>
      <c r="B73" s="9" t="s">
        <v>150</v>
      </c>
      <c r="C73" s="10" t="s">
        <v>151</v>
      </c>
      <c r="D73" s="4">
        <v>14.5</v>
      </c>
      <c r="E73" s="28">
        <v>2013</v>
      </c>
      <c r="F73" s="26">
        <v>1825</v>
      </c>
      <c r="G73" s="26">
        <v>2297</v>
      </c>
      <c r="H73" s="26">
        <v>2628</v>
      </c>
      <c r="I73" s="26">
        <v>2239</v>
      </c>
      <c r="J73" s="26">
        <v>3353</v>
      </c>
      <c r="K73" s="26"/>
      <c r="L73" s="26"/>
      <c r="M73" s="26"/>
      <c r="N73" s="26"/>
      <c r="O73" s="26"/>
      <c r="P73" s="26"/>
      <c r="Q73" s="26"/>
      <c r="R73" s="18">
        <f t="shared" si="1"/>
        <v>12342</v>
      </c>
    </row>
    <row r="74" spans="1:18" s="2" customFormat="1" ht="15">
      <c r="A74" s="10" t="s">
        <v>89</v>
      </c>
      <c r="B74" s="9" t="s">
        <v>152</v>
      </c>
      <c r="C74" s="10" t="s">
        <v>153</v>
      </c>
      <c r="D74" s="4">
        <v>16.829999999999998</v>
      </c>
      <c r="E74" s="28">
        <v>2013</v>
      </c>
      <c r="F74" s="26">
        <v>1823</v>
      </c>
      <c r="G74" s="26">
        <v>1857</v>
      </c>
      <c r="H74" s="26">
        <v>1554</v>
      </c>
      <c r="I74" s="26">
        <v>1255</v>
      </c>
      <c r="J74" s="26">
        <v>2890</v>
      </c>
      <c r="K74" s="26"/>
      <c r="L74" s="26"/>
      <c r="M74" s="26"/>
      <c r="N74" s="26"/>
      <c r="O74" s="26"/>
      <c r="P74" s="26"/>
      <c r="Q74" s="26"/>
      <c r="R74" s="18">
        <f t="shared" si="1"/>
        <v>9379</v>
      </c>
    </row>
    <row r="75" spans="1:18" s="2" customFormat="1" ht="15">
      <c r="A75" s="10" t="s">
        <v>89</v>
      </c>
      <c r="B75" s="9" t="s">
        <v>154</v>
      </c>
      <c r="C75" s="10" t="s">
        <v>155</v>
      </c>
      <c r="D75" s="4">
        <v>16.510000000000002</v>
      </c>
      <c r="E75" s="28">
        <v>2014</v>
      </c>
      <c r="F75" s="26">
        <v>1211</v>
      </c>
      <c r="G75" s="26">
        <v>1485</v>
      </c>
      <c r="H75" s="26">
        <v>2186</v>
      </c>
      <c r="I75" s="26">
        <v>1381</v>
      </c>
      <c r="J75" s="26">
        <v>2138</v>
      </c>
      <c r="K75" s="26"/>
      <c r="L75" s="26"/>
      <c r="M75" s="26"/>
      <c r="N75" s="26"/>
      <c r="O75" s="26"/>
      <c r="P75" s="26"/>
      <c r="Q75" s="26"/>
      <c r="R75" s="18">
        <f t="shared" si="1"/>
        <v>8401</v>
      </c>
    </row>
    <row r="76" spans="1:18" s="2" customFormat="1" ht="15">
      <c r="A76" s="10" t="s">
        <v>89</v>
      </c>
      <c r="B76" s="9" t="s">
        <v>156</v>
      </c>
      <c r="C76" s="10" t="s">
        <v>157</v>
      </c>
      <c r="D76" s="4">
        <v>8.64</v>
      </c>
      <c r="E76" s="28">
        <v>2014</v>
      </c>
      <c r="F76" s="26">
        <v>343</v>
      </c>
      <c r="G76" s="26">
        <v>395</v>
      </c>
      <c r="H76" s="26">
        <v>789</v>
      </c>
      <c r="I76" s="26">
        <v>437</v>
      </c>
      <c r="J76" s="26">
        <v>960</v>
      </c>
      <c r="K76" s="26"/>
      <c r="L76" s="26"/>
      <c r="M76" s="26"/>
      <c r="N76" s="26"/>
      <c r="O76" s="26"/>
      <c r="P76" s="26"/>
      <c r="Q76" s="26"/>
      <c r="R76" s="18">
        <f t="shared" si="1"/>
        <v>2924</v>
      </c>
    </row>
    <row r="77" spans="1:18" s="2" customFormat="1" ht="15">
      <c r="A77" s="10" t="s">
        <v>89</v>
      </c>
      <c r="B77" s="9" t="s">
        <v>158</v>
      </c>
      <c r="C77" s="10" t="s">
        <v>159</v>
      </c>
      <c r="D77" s="4">
        <v>15.15</v>
      </c>
      <c r="E77" s="28">
        <v>2014</v>
      </c>
      <c r="F77" s="26">
        <v>1663</v>
      </c>
      <c r="G77" s="26">
        <v>2235</v>
      </c>
      <c r="H77" s="26">
        <v>2897</v>
      </c>
      <c r="I77" s="26">
        <v>1762</v>
      </c>
      <c r="J77" s="26">
        <v>3283</v>
      </c>
      <c r="K77" s="26"/>
      <c r="L77" s="26"/>
      <c r="M77" s="26"/>
      <c r="N77" s="26"/>
      <c r="O77" s="26"/>
      <c r="P77" s="26"/>
      <c r="Q77" s="26"/>
      <c r="R77" s="18">
        <f t="shared" si="1"/>
        <v>11840</v>
      </c>
    </row>
    <row r="78" spans="1:18" s="2" customFormat="1" ht="15">
      <c r="A78" s="10" t="s">
        <v>89</v>
      </c>
      <c r="B78" s="9" t="s">
        <v>160</v>
      </c>
      <c r="C78" s="10" t="s">
        <v>161</v>
      </c>
      <c r="D78" s="4">
        <v>21.97</v>
      </c>
      <c r="E78" s="28">
        <v>2014</v>
      </c>
      <c r="F78" s="26">
        <v>1217</v>
      </c>
      <c r="G78" s="26">
        <v>1817</v>
      </c>
      <c r="H78" s="26">
        <v>2576</v>
      </c>
      <c r="I78" s="26">
        <v>1784</v>
      </c>
      <c r="J78" s="26">
        <v>3222</v>
      </c>
      <c r="K78" s="26"/>
      <c r="L78" s="26"/>
      <c r="M78" s="26"/>
      <c r="N78" s="26"/>
      <c r="O78" s="26"/>
      <c r="P78" s="26"/>
      <c r="Q78" s="26"/>
      <c r="R78" s="18">
        <f t="shared" si="1"/>
        <v>10616</v>
      </c>
    </row>
    <row r="79" spans="1:18" s="2" customFormat="1" ht="15">
      <c r="A79" s="10" t="s">
        <v>89</v>
      </c>
      <c r="B79" s="9" t="s">
        <v>162</v>
      </c>
      <c r="C79" s="10" t="s">
        <v>163</v>
      </c>
      <c r="D79" s="4">
        <v>18.100000000000001</v>
      </c>
      <c r="E79" s="28">
        <v>2014</v>
      </c>
      <c r="F79" s="26">
        <v>1133</v>
      </c>
      <c r="G79" s="26">
        <v>898</v>
      </c>
      <c r="H79" s="26">
        <v>2018</v>
      </c>
      <c r="I79" s="26">
        <v>1345</v>
      </c>
      <c r="J79" s="26">
        <v>2513</v>
      </c>
      <c r="K79" s="26"/>
      <c r="L79" s="26"/>
      <c r="M79" s="26"/>
      <c r="N79" s="26"/>
      <c r="O79" s="26"/>
      <c r="P79" s="26"/>
      <c r="Q79" s="26"/>
      <c r="R79" s="18">
        <f t="shared" si="1"/>
        <v>7907</v>
      </c>
    </row>
    <row r="80" spans="1:18" s="2" customFormat="1" ht="15">
      <c r="A80" s="10" t="s">
        <v>89</v>
      </c>
      <c r="B80" s="9" t="s">
        <v>164</v>
      </c>
      <c r="C80" s="10" t="s">
        <v>165</v>
      </c>
      <c r="D80" s="4">
        <v>20.149999999999999</v>
      </c>
      <c r="E80" s="28">
        <v>2014</v>
      </c>
      <c r="F80" s="26">
        <v>1725</v>
      </c>
      <c r="G80" s="26">
        <v>1704</v>
      </c>
      <c r="H80" s="26">
        <v>2181</v>
      </c>
      <c r="I80" s="26">
        <v>1955</v>
      </c>
      <c r="J80" s="26">
        <v>1901</v>
      </c>
      <c r="K80" s="26"/>
      <c r="L80" s="26"/>
      <c r="M80" s="26"/>
      <c r="N80" s="26"/>
      <c r="O80" s="26"/>
      <c r="P80" s="26"/>
      <c r="Q80" s="26"/>
      <c r="R80" s="18">
        <f t="shared" si="1"/>
        <v>9466</v>
      </c>
    </row>
    <row r="81" spans="1:18" s="2" customFormat="1" ht="15">
      <c r="A81" s="10" t="s">
        <v>89</v>
      </c>
      <c r="B81" s="9" t="s">
        <v>166</v>
      </c>
      <c r="C81" s="10" t="s">
        <v>167</v>
      </c>
      <c r="D81" s="4">
        <v>20.3</v>
      </c>
      <c r="E81" s="28">
        <v>2014</v>
      </c>
      <c r="F81" s="26">
        <v>984</v>
      </c>
      <c r="G81" s="26">
        <v>1463</v>
      </c>
      <c r="H81" s="26">
        <v>2662</v>
      </c>
      <c r="I81" s="26">
        <v>2114</v>
      </c>
      <c r="J81" s="26">
        <v>2514</v>
      </c>
      <c r="K81" s="26"/>
      <c r="L81" s="26"/>
      <c r="M81" s="26"/>
      <c r="N81" s="26"/>
      <c r="O81" s="26"/>
      <c r="P81" s="26"/>
      <c r="Q81" s="26"/>
      <c r="R81" s="18">
        <f t="shared" si="1"/>
        <v>9737</v>
      </c>
    </row>
    <row r="82" spans="1:18" s="2" customFormat="1" ht="15">
      <c r="A82" s="10" t="s">
        <v>89</v>
      </c>
      <c r="B82" s="9" t="s">
        <v>168</v>
      </c>
      <c r="C82" s="10" t="s">
        <v>169</v>
      </c>
      <c r="D82" s="4">
        <v>16.600000000000001</v>
      </c>
      <c r="E82" s="28">
        <v>2014</v>
      </c>
      <c r="F82" s="26">
        <v>1115</v>
      </c>
      <c r="G82" s="26">
        <v>1877</v>
      </c>
      <c r="H82" s="26">
        <v>1178</v>
      </c>
      <c r="I82" s="26">
        <v>1759</v>
      </c>
      <c r="J82" s="26">
        <v>2372</v>
      </c>
      <c r="K82" s="26"/>
      <c r="L82" s="26"/>
      <c r="M82" s="26"/>
      <c r="N82" s="26"/>
      <c r="O82" s="26"/>
      <c r="P82" s="26"/>
      <c r="Q82" s="26"/>
      <c r="R82" s="18">
        <f t="shared" si="1"/>
        <v>8301</v>
      </c>
    </row>
    <row r="83" spans="1:18" s="2" customFormat="1" ht="15">
      <c r="A83" s="10" t="s">
        <v>89</v>
      </c>
      <c r="B83" s="9" t="s">
        <v>170</v>
      </c>
      <c r="C83" s="10" t="s">
        <v>171</v>
      </c>
      <c r="D83" s="4">
        <v>11.94</v>
      </c>
      <c r="E83" s="28">
        <v>2014</v>
      </c>
      <c r="F83" s="26">
        <v>1005</v>
      </c>
      <c r="G83" s="26">
        <v>754</v>
      </c>
      <c r="H83" s="26">
        <v>1119</v>
      </c>
      <c r="I83" s="26">
        <v>1028</v>
      </c>
      <c r="J83" s="26">
        <v>1518</v>
      </c>
      <c r="K83" s="26"/>
      <c r="L83" s="26"/>
      <c r="M83" s="26"/>
      <c r="N83" s="26"/>
      <c r="O83" s="26"/>
      <c r="P83" s="26"/>
      <c r="Q83" s="26"/>
      <c r="R83" s="18">
        <f t="shared" si="1"/>
        <v>5424</v>
      </c>
    </row>
    <row r="84" spans="1:18" s="2" customFormat="1" ht="15">
      <c r="A84" s="10" t="s">
        <v>89</v>
      </c>
      <c r="B84" s="9" t="s">
        <v>172</v>
      </c>
      <c r="C84" s="10" t="s">
        <v>173</v>
      </c>
      <c r="D84" s="4">
        <v>14.6</v>
      </c>
      <c r="E84" s="28">
        <v>2014</v>
      </c>
      <c r="F84" s="26">
        <v>1022</v>
      </c>
      <c r="G84" s="26">
        <v>1820</v>
      </c>
      <c r="H84" s="26">
        <v>1506</v>
      </c>
      <c r="I84" s="26">
        <v>1648</v>
      </c>
      <c r="J84" s="26">
        <v>2227</v>
      </c>
      <c r="K84" s="26"/>
      <c r="L84" s="26"/>
      <c r="M84" s="26"/>
      <c r="N84" s="26"/>
      <c r="O84" s="26"/>
      <c r="P84" s="26"/>
      <c r="Q84" s="26"/>
      <c r="R84" s="18">
        <f t="shared" si="1"/>
        <v>8223</v>
      </c>
    </row>
    <row r="85" spans="1:18" s="2" customFormat="1" ht="15">
      <c r="A85" s="10" t="s">
        <v>89</v>
      </c>
      <c r="B85" s="9" t="s">
        <v>174</v>
      </c>
      <c r="C85" s="10" t="s">
        <v>175</v>
      </c>
      <c r="D85" s="4">
        <v>1.4</v>
      </c>
      <c r="E85" s="28">
        <v>2014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/>
      <c r="L85" s="26"/>
      <c r="M85" s="26"/>
      <c r="N85" s="26"/>
      <c r="O85" s="26"/>
      <c r="P85" s="26"/>
      <c r="Q85" s="26"/>
      <c r="R85" s="18">
        <f t="shared" si="1"/>
        <v>0</v>
      </c>
    </row>
    <row r="86" spans="1:18" s="2" customFormat="1" ht="15">
      <c r="A86" s="10" t="s">
        <v>89</v>
      </c>
      <c r="B86" s="9" t="s">
        <v>176</v>
      </c>
      <c r="C86" s="10" t="s">
        <v>177</v>
      </c>
      <c r="D86" s="4">
        <v>13.72</v>
      </c>
      <c r="E86" s="28">
        <v>2014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/>
      <c r="L86" s="26"/>
      <c r="M86" s="26"/>
      <c r="N86" s="26"/>
      <c r="O86" s="26"/>
      <c r="P86" s="26"/>
      <c r="Q86" s="26"/>
      <c r="R86" s="18">
        <f t="shared" si="1"/>
        <v>0</v>
      </c>
    </row>
    <row r="87" spans="1:18" s="2" customFormat="1" ht="15">
      <c r="A87" s="10" t="s">
        <v>89</v>
      </c>
      <c r="B87" s="9" t="s">
        <v>178</v>
      </c>
      <c r="C87" s="10" t="s">
        <v>179</v>
      </c>
      <c r="D87" s="4">
        <v>11.31</v>
      </c>
      <c r="E87" s="28">
        <v>2014</v>
      </c>
      <c r="F87" s="26">
        <v>634</v>
      </c>
      <c r="G87" s="26">
        <v>845</v>
      </c>
      <c r="H87" s="26">
        <v>829</v>
      </c>
      <c r="I87" s="26">
        <v>767</v>
      </c>
      <c r="J87" s="26">
        <v>1288</v>
      </c>
      <c r="K87" s="26"/>
      <c r="L87" s="26"/>
      <c r="M87" s="26"/>
      <c r="N87" s="26"/>
      <c r="O87" s="26"/>
      <c r="P87" s="26"/>
      <c r="Q87" s="26"/>
      <c r="R87" s="18">
        <f t="shared" si="1"/>
        <v>4363</v>
      </c>
    </row>
    <row r="88" spans="1:18" s="2" customFormat="1" ht="15">
      <c r="A88" s="10" t="s">
        <v>89</v>
      </c>
      <c r="B88" s="9" t="s">
        <v>180</v>
      </c>
      <c r="C88" s="10" t="s">
        <v>181</v>
      </c>
      <c r="D88" s="4">
        <v>10.47</v>
      </c>
      <c r="E88" s="28">
        <v>2014</v>
      </c>
      <c r="F88" s="26">
        <v>941</v>
      </c>
      <c r="G88" s="26">
        <v>1024</v>
      </c>
      <c r="H88" s="26">
        <v>999</v>
      </c>
      <c r="I88" s="26">
        <v>908</v>
      </c>
      <c r="J88" s="26">
        <v>1412</v>
      </c>
      <c r="K88" s="26"/>
      <c r="L88" s="26"/>
      <c r="M88" s="26"/>
      <c r="N88" s="26"/>
      <c r="O88" s="26"/>
      <c r="P88" s="26"/>
      <c r="Q88" s="26"/>
      <c r="R88" s="18">
        <f t="shared" si="1"/>
        <v>5284</v>
      </c>
    </row>
    <row r="89" spans="1:18" s="2" customFormat="1" ht="15">
      <c r="A89" s="10" t="s">
        <v>89</v>
      </c>
      <c r="B89" s="9" t="s">
        <v>182</v>
      </c>
      <c r="C89" s="10" t="s">
        <v>183</v>
      </c>
      <c r="D89" s="4">
        <v>10.39</v>
      </c>
      <c r="E89" s="28">
        <v>2014</v>
      </c>
      <c r="F89" s="26">
        <v>626</v>
      </c>
      <c r="G89" s="26">
        <v>901</v>
      </c>
      <c r="H89" s="26">
        <v>815</v>
      </c>
      <c r="I89" s="26">
        <v>688</v>
      </c>
      <c r="J89" s="26">
        <v>1563</v>
      </c>
      <c r="K89" s="26"/>
      <c r="L89" s="26"/>
      <c r="M89" s="26"/>
      <c r="N89" s="26"/>
      <c r="O89" s="26"/>
      <c r="P89" s="26"/>
      <c r="Q89" s="26"/>
      <c r="R89" s="18">
        <f t="shared" si="1"/>
        <v>4593</v>
      </c>
    </row>
    <row r="90" spans="1:18" s="2" customFormat="1" ht="15">
      <c r="A90" s="10" t="s">
        <v>89</v>
      </c>
      <c r="B90" s="9" t="s">
        <v>184</v>
      </c>
      <c r="C90" s="10" t="s">
        <v>185</v>
      </c>
      <c r="D90" s="4">
        <v>6.47</v>
      </c>
      <c r="E90" s="28">
        <v>2014</v>
      </c>
      <c r="F90" s="26">
        <v>234</v>
      </c>
      <c r="G90" s="26">
        <v>227</v>
      </c>
      <c r="H90" s="26">
        <v>393</v>
      </c>
      <c r="I90" s="26">
        <v>233</v>
      </c>
      <c r="J90" s="26">
        <v>500</v>
      </c>
      <c r="K90" s="26"/>
      <c r="L90" s="26"/>
      <c r="M90" s="26"/>
      <c r="N90" s="26"/>
      <c r="O90" s="26"/>
      <c r="P90" s="26"/>
      <c r="Q90" s="26"/>
      <c r="R90" s="18">
        <f t="shared" si="1"/>
        <v>1587</v>
      </c>
    </row>
    <row r="91" spans="1:18" s="2" customFormat="1" ht="15">
      <c r="A91" s="10" t="s">
        <v>89</v>
      </c>
      <c r="B91" s="9" t="s">
        <v>186</v>
      </c>
      <c r="C91" s="10" t="s">
        <v>187</v>
      </c>
      <c r="D91" s="4">
        <v>7.45</v>
      </c>
      <c r="E91" s="28">
        <v>2014</v>
      </c>
      <c r="F91" s="26">
        <v>474</v>
      </c>
      <c r="G91" s="26">
        <v>527</v>
      </c>
      <c r="H91" s="26">
        <v>327</v>
      </c>
      <c r="I91" s="26">
        <v>722</v>
      </c>
      <c r="J91" s="26">
        <v>779</v>
      </c>
      <c r="K91" s="26"/>
      <c r="L91" s="26"/>
      <c r="M91" s="26"/>
      <c r="N91" s="26"/>
      <c r="O91" s="26"/>
      <c r="P91" s="26"/>
      <c r="Q91" s="26"/>
      <c r="R91" s="18">
        <f t="shared" si="1"/>
        <v>2829</v>
      </c>
    </row>
    <row r="92" spans="1:18" s="2" customFormat="1" ht="15">
      <c r="A92" s="10" t="s">
        <v>89</v>
      </c>
      <c r="B92" s="9" t="s">
        <v>188</v>
      </c>
      <c r="C92" s="10" t="s">
        <v>189</v>
      </c>
      <c r="D92" s="4">
        <v>13.09</v>
      </c>
      <c r="E92" s="28">
        <v>2014</v>
      </c>
      <c r="F92" s="26">
        <v>1193</v>
      </c>
      <c r="G92" s="26">
        <v>1555</v>
      </c>
      <c r="H92" s="26">
        <v>1281</v>
      </c>
      <c r="I92" s="26">
        <v>1657</v>
      </c>
      <c r="J92" s="26">
        <v>1871</v>
      </c>
      <c r="K92" s="26"/>
      <c r="L92" s="26"/>
      <c r="M92" s="26"/>
      <c r="N92" s="26"/>
      <c r="O92" s="26"/>
      <c r="P92" s="26"/>
      <c r="Q92" s="26"/>
      <c r="R92" s="18">
        <f t="shared" si="1"/>
        <v>7557</v>
      </c>
    </row>
    <row r="93" spans="1:18" s="2" customFormat="1" ht="15">
      <c r="A93" s="10" t="s">
        <v>89</v>
      </c>
      <c r="B93" s="9" t="s">
        <v>190</v>
      </c>
      <c r="C93" s="10" t="s">
        <v>191</v>
      </c>
      <c r="D93" s="4">
        <v>15.33</v>
      </c>
      <c r="E93" s="28">
        <v>2014</v>
      </c>
      <c r="F93" s="26">
        <v>1099</v>
      </c>
      <c r="G93" s="26">
        <v>1587</v>
      </c>
      <c r="H93" s="26">
        <v>1123</v>
      </c>
      <c r="I93" s="26">
        <v>1750</v>
      </c>
      <c r="J93" s="26">
        <v>1779</v>
      </c>
      <c r="K93" s="26"/>
      <c r="L93" s="26"/>
      <c r="M93" s="26"/>
      <c r="N93" s="26"/>
      <c r="O93" s="26"/>
      <c r="P93" s="26"/>
      <c r="Q93" s="26"/>
      <c r="R93" s="18">
        <f t="shared" si="1"/>
        <v>7338</v>
      </c>
    </row>
    <row r="94" spans="1:18" s="2" customFormat="1" ht="15">
      <c r="A94" s="10" t="s">
        <v>89</v>
      </c>
      <c r="B94" s="9" t="s">
        <v>192</v>
      </c>
      <c r="C94" s="10" t="s">
        <v>193</v>
      </c>
      <c r="D94" s="4">
        <v>11.8</v>
      </c>
      <c r="E94" s="28">
        <v>2014</v>
      </c>
      <c r="F94" s="26">
        <v>1213</v>
      </c>
      <c r="G94" s="26">
        <v>1339</v>
      </c>
      <c r="H94" s="26">
        <v>981</v>
      </c>
      <c r="I94" s="26">
        <v>1136</v>
      </c>
      <c r="J94" s="26">
        <v>1376</v>
      </c>
      <c r="K94" s="26"/>
      <c r="L94" s="26"/>
      <c r="M94" s="26"/>
      <c r="N94" s="26"/>
      <c r="O94" s="26"/>
      <c r="P94" s="26"/>
      <c r="Q94" s="26"/>
      <c r="R94" s="18">
        <f t="shared" si="1"/>
        <v>6045</v>
      </c>
    </row>
    <row r="95" spans="1:18" s="2" customFormat="1" ht="15">
      <c r="A95" s="10" t="s">
        <v>89</v>
      </c>
      <c r="B95" s="9" t="s">
        <v>194</v>
      </c>
      <c r="C95" s="10" t="s">
        <v>195</v>
      </c>
      <c r="D95" s="4">
        <v>14.29</v>
      </c>
      <c r="E95" s="28">
        <v>2014</v>
      </c>
      <c r="F95" s="26">
        <v>1105</v>
      </c>
      <c r="G95" s="26">
        <v>1630</v>
      </c>
      <c r="H95" s="26">
        <v>1045</v>
      </c>
      <c r="I95" s="26">
        <v>1427</v>
      </c>
      <c r="J95" s="26">
        <v>1734</v>
      </c>
      <c r="K95" s="26"/>
      <c r="L95" s="26"/>
      <c r="M95" s="26"/>
      <c r="N95" s="26"/>
      <c r="O95" s="26"/>
      <c r="P95" s="26"/>
      <c r="Q95" s="26"/>
      <c r="R95" s="18">
        <f t="shared" si="1"/>
        <v>6941</v>
      </c>
    </row>
    <row r="96" spans="1:18" s="2" customFormat="1" ht="15">
      <c r="A96" s="10" t="s">
        <v>89</v>
      </c>
      <c r="B96" s="9">
        <v>193</v>
      </c>
      <c r="C96" s="10" t="s">
        <v>196</v>
      </c>
      <c r="D96" s="4">
        <v>1.96</v>
      </c>
      <c r="E96" s="28">
        <v>2014</v>
      </c>
      <c r="F96" s="26">
        <v>46</v>
      </c>
      <c r="G96" s="26">
        <v>50</v>
      </c>
      <c r="H96" s="26">
        <v>90</v>
      </c>
      <c r="I96" s="26">
        <v>80</v>
      </c>
      <c r="J96" s="26">
        <v>69</v>
      </c>
      <c r="K96" s="26"/>
      <c r="L96" s="26"/>
      <c r="M96" s="26"/>
      <c r="N96" s="26"/>
      <c r="O96" s="26"/>
      <c r="P96" s="26"/>
      <c r="Q96" s="26"/>
      <c r="R96" s="18">
        <f t="shared" si="1"/>
        <v>335</v>
      </c>
    </row>
    <row r="97" spans="1:18" s="2" customFormat="1" ht="15">
      <c r="A97" s="10" t="s">
        <v>89</v>
      </c>
      <c r="B97" s="9">
        <v>243</v>
      </c>
      <c r="C97" s="10" t="s">
        <v>197</v>
      </c>
      <c r="D97" s="4">
        <v>1.24</v>
      </c>
      <c r="E97" s="28">
        <v>2015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/>
      <c r="L97" s="26"/>
      <c r="M97" s="26"/>
      <c r="N97" s="26"/>
      <c r="O97" s="26"/>
      <c r="P97" s="26"/>
      <c r="Q97" s="26"/>
      <c r="R97" s="18">
        <f t="shared" si="1"/>
        <v>0</v>
      </c>
    </row>
    <row r="98" spans="1:18" s="2" customFormat="1" ht="15">
      <c r="A98" s="10" t="s">
        <v>89</v>
      </c>
      <c r="B98" s="9" t="s">
        <v>198</v>
      </c>
      <c r="C98" s="10" t="s">
        <v>199</v>
      </c>
      <c r="D98" s="4">
        <v>18.91</v>
      </c>
      <c r="E98" s="28">
        <v>2013</v>
      </c>
      <c r="F98" s="26">
        <v>1041</v>
      </c>
      <c r="G98" s="26">
        <v>793</v>
      </c>
      <c r="H98" s="26">
        <v>1369</v>
      </c>
      <c r="I98" s="26">
        <v>541</v>
      </c>
      <c r="J98" s="26">
        <v>1624</v>
      </c>
      <c r="K98" s="26"/>
      <c r="L98" s="26"/>
      <c r="M98" s="26"/>
      <c r="N98" s="26"/>
      <c r="O98" s="26"/>
      <c r="P98" s="26"/>
      <c r="Q98" s="26"/>
      <c r="R98" s="18">
        <f t="shared" si="1"/>
        <v>5368</v>
      </c>
    </row>
    <row r="99" spans="1:18" s="2" customFormat="1" ht="15">
      <c r="A99" s="10" t="s">
        <v>89</v>
      </c>
      <c r="B99" s="9" t="s">
        <v>200</v>
      </c>
      <c r="C99" s="10" t="s">
        <v>201</v>
      </c>
      <c r="D99" s="4">
        <v>22.69</v>
      </c>
      <c r="E99" s="28">
        <v>2014</v>
      </c>
      <c r="F99" s="26">
        <v>1852</v>
      </c>
      <c r="G99" s="26">
        <v>2407</v>
      </c>
      <c r="H99" s="26">
        <v>2391</v>
      </c>
      <c r="I99" s="26">
        <v>1738</v>
      </c>
      <c r="J99" s="26">
        <v>2703</v>
      </c>
      <c r="K99" s="26"/>
      <c r="L99" s="26"/>
      <c r="M99" s="26"/>
      <c r="N99" s="26"/>
      <c r="O99" s="26"/>
      <c r="P99" s="26"/>
      <c r="Q99" s="26"/>
      <c r="R99" s="18">
        <f t="shared" si="1"/>
        <v>11091</v>
      </c>
    </row>
    <row r="100" spans="1:18" s="2" customFormat="1" ht="15">
      <c r="A100" s="10" t="s">
        <v>89</v>
      </c>
      <c r="B100" s="9" t="s">
        <v>202</v>
      </c>
      <c r="C100" s="10" t="s">
        <v>203</v>
      </c>
      <c r="D100" s="4">
        <v>21.85</v>
      </c>
      <c r="E100" s="28">
        <v>2014</v>
      </c>
      <c r="F100" s="26">
        <v>1280</v>
      </c>
      <c r="G100" s="26">
        <v>1744</v>
      </c>
      <c r="H100" s="26">
        <v>1687</v>
      </c>
      <c r="I100" s="26">
        <v>1935</v>
      </c>
      <c r="J100" s="26">
        <v>2198</v>
      </c>
      <c r="K100" s="26"/>
      <c r="L100" s="26"/>
      <c r="M100" s="26"/>
      <c r="N100" s="26"/>
      <c r="O100" s="26"/>
      <c r="P100" s="26"/>
      <c r="Q100" s="26"/>
      <c r="R100" s="18">
        <f t="shared" si="1"/>
        <v>8844</v>
      </c>
    </row>
    <row r="101" spans="1:18" s="2" customFormat="1" ht="15">
      <c r="A101" s="10" t="s">
        <v>89</v>
      </c>
      <c r="B101" s="9" t="s">
        <v>204</v>
      </c>
      <c r="C101" s="10" t="s">
        <v>205</v>
      </c>
      <c r="D101" s="4">
        <v>22.27</v>
      </c>
      <c r="E101" s="28">
        <v>2014</v>
      </c>
      <c r="F101" s="26">
        <v>1712</v>
      </c>
      <c r="G101" s="26">
        <v>2350</v>
      </c>
      <c r="H101" s="26">
        <v>1912</v>
      </c>
      <c r="I101" s="26">
        <v>2040</v>
      </c>
      <c r="J101" s="26">
        <v>2587</v>
      </c>
      <c r="K101" s="26"/>
      <c r="L101" s="26"/>
      <c r="M101" s="26"/>
      <c r="N101" s="26"/>
      <c r="O101" s="26"/>
      <c r="P101" s="26"/>
      <c r="Q101" s="26"/>
      <c r="R101" s="18">
        <f t="shared" si="1"/>
        <v>10601</v>
      </c>
    </row>
    <row r="102" spans="1:18" s="2" customFormat="1" ht="15">
      <c r="A102" s="10" t="s">
        <v>89</v>
      </c>
      <c r="B102" s="9">
        <v>276</v>
      </c>
      <c r="C102" s="10" t="s">
        <v>109</v>
      </c>
      <c r="D102" s="4">
        <v>0.95</v>
      </c>
      <c r="E102" s="28">
        <v>2022</v>
      </c>
      <c r="F102" s="26">
        <v>53</v>
      </c>
      <c r="G102" s="26">
        <v>0</v>
      </c>
      <c r="H102" s="26">
        <v>0</v>
      </c>
      <c r="I102" s="26">
        <v>50</v>
      </c>
      <c r="J102" s="26">
        <v>90</v>
      </c>
      <c r="K102" s="26"/>
      <c r="L102" s="26"/>
      <c r="M102" s="26"/>
      <c r="N102" s="26"/>
      <c r="O102" s="26"/>
      <c r="P102" s="26"/>
      <c r="Q102" s="26"/>
      <c r="R102" s="18">
        <f t="shared" si="1"/>
        <v>193</v>
      </c>
    </row>
    <row r="103" spans="1:18" s="2" customFormat="1" ht="15">
      <c r="A103" s="10" t="s">
        <v>89</v>
      </c>
      <c r="B103" s="9">
        <v>293</v>
      </c>
      <c r="C103" s="10" t="s">
        <v>196</v>
      </c>
      <c r="D103" s="4">
        <v>3.57</v>
      </c>
      <c r="E103" s="28">
        <v>2022</v>
      </c>
      <c r="F103" s="26">
        <v>289</v>
      </c>
      <c r="G103" s="26">
        <v>0</v>
      </c>
      <c r="H103" s="26">
        <v>0</v>
      </c>
      <c r="I103" s="26">
        <v>300</v>
      </c>
      <c r="J103" s="26">
        <v>375</v>
      </c>
      <c r="K103" s="26"/>
      <c r="L103" s="26"/>
      <c r="M103" s="26"/>
      <c r="N103" s="26"/>
      <c r="O103" s="26"/>
      <c r="P103" s="26"/>
      <c r="Q103" s="26"/>
      <c r="R103" s="18">
        <f t="shared" si="1"/>
        <v>964</v>
      </c>
    </row>
    <row r="104" spans="1:18" s="2" customFormat="1" ht="15">
      <c r="A104" s="10" t="s">
        <v>206</v>
      </c>
      <c r="B104" s="9" t="s">
        <v>207</v>
      </c>
      <c r="C104" s="10" t="s">
        <v>208</v>
      </c>
      <c r="D104" s="4">
        <v>20.9</v>
      </c>
      <c r="E104" s="28">
        <v>2014</v>
      </c>
      <c r="F104" s="26">
        <v>2179</v>
      </c>
      <c r="G104" s="26">
        <v>1872</v>
      </c>
      <c r="H104" s="26">
        <v>1944</v>
      </c>
      <c r="I104" s="26">
        <v>1581</v>
      </c>
      <c r="J104" s="26">
        <v>2373</v>
      </c>
      <c r="K104" s="26"/>
      <c r="L104" s="26"/>
      <c r="M104" s="26"/>
      <c r="N104" s="26"/>
      <c r="O104" s="26"/>
      <c r="P104" s="26"/>
      <c r="Q104" s="26"/>
      <c r="R104" s="18">
        <f t="shared" si="1"/>
        <v>9949</v>
      </c>
    </row>
    <row r="105" spans="1:18" s="2" customFormat="1" ht="15">
      <c r="A105" s="10" t="s">
        <v>206</v>
      </c>
      <c r="B105" s="9" t="s">
        <v>209</v>
      </c>
      <c r="C105" s="10" t="s">
        <v>210</v>
      </c>
      <c r="D105" s="4">
        <v>21.54</v>
      </c>
      <c r="E105" s="28">
        <v>2014</v>
      </c>
      <c r="F105" s="26">
        <v>1954</v>
      </c>
      <c r="G105" s="26">
        <v>1390</v>
      </c>
      <c r="H105" s="26">
        <v>2241</v>
      </c>
      <c r="I105" s="26">
        <v>1282</v>
      </c>
      <c r="J105" s="26">
        <v>1601</v>
      </c>
      <c r="K105" s="26"/>
      <c r="L105" s="26"/>
      <c r="M105" s="26"/>
      <c r="N105" s="26"/>
      <c r="O105" s="26"/>
      <c r="P105" s="26"/>
      <c r="Q105" s="26"/>
      <c r="R105" s="18">
        <f t="shared" si="1"/>
        <v>8468</v>
      </c>
    </row>
    <row r="106" spans="1:18" s="2" customFormat="1" ht="15">
      <c r="A106" s="10" t="s">
        <v>206</v>
      </c>
      <c r="B106" s="9" t="s">
        <v>211</v>
      </c>
      <c r="C106" s="10" t="s">
        <v>212</v>
      </c>
      <c r="D106" s="4">
        <v>20.18</v>
      </c>
      <c r="E106" s="28">
        <v>2014</v>
      </c>
      <c r="F106" s="26">
        <v>2268</v>
      </c>
      <c r="G106" s="26">
        <v>1977</v>
      </c>
      <c r="H106" s="26">
        <v>2702</v>
      </c>
      <c r="I106" s="26">
        <v>1501</v>
      </c>
      <c r="J106" s="26">
        <v>2054</v>
      </c>
      <c r="K106" s="26"/>
      <c r="L106" s="26"/>
      <c r="M106" s="26"/>
      <c r="N106" s="26"/>
      <c r="O106" s="26"/>
      <c r="P106" s="26"/>
      <c r="Q106" s="26"/>
      <c r="R106" s="18">
        <f t="shared" si="1"/>
        <v>10502</v>
      </c>
    </row>
    <row r="107" spans="1:18" s="2" customFormat="1" ht="15">
      <c r="A107" s="10" t="s">
        <v>206</v>
      </c>
      <c r="B107" s="9" t="s">
        <v>213</v>
      </c>
      <c r="C107" s="10" t="s">
        <v>214</v>
      </c>
      <c r="D107" s="4">
        <v>13.33</v>
      </c>
      <c r="E107" s="28">
        <v>2014</v>
      </c>
      <c r="F107" s="26">
        <v>1192</v>
      </c>
      <c r="G107" s="26">
        <v>1068</v>
      </c>
      <c r="H107" s="26">
        <v>1637</v>
      </c>
      <c r="I107" s="26">
        <v>985</v>
      </c>
      <c r="J107" s="26">
        <v>1168</v>
      </c>
      <c r="K107" s="26"/>
      <c r="L107" s="26"/>
      <c r="M107" s="26"/>
      <c r="N107" s="26"/>
      <c r="O107" s="26"/>
      <c r="P107" s="26"/>
      <c r="Q107" s="26"/>
      <c r="R107" s="18">
        <f t="shared" si="1"/>
        <v>6050</v>
      </c>
    </row>
    <row r="108" spans="1:18" s="2" customFormat="1" ht="15">
      <c r="A108" s="10" t="s">
        <v>206</v>
      </c>
      <c r="B108" s="9" t="s">
        <v>215</v>
      </c>
      <c r="C108" s="10" t="s">
        <v>216</v>
      </c>
      <c r="D108" s="4">
        <v>11.13</v>
      </c>
      <c r="E108" s="28">
        <v>2014</v>
      </c>
      <c r="F108" s="26">
        <v>1318</v>
      </c>
      <c r="G108" s="26">
        <v>1012</v>
      </c>
      <c r="H108" s="26">
        <v>1088</v>
      </c>
      <c r="I108" s="26">
        <v>884</v>
      </c>
      <c r="J108" s="26">
        <v>751</v>
      </c>
      <c r="K108" s="26"/>
      <c r="L108" s="26"/>
      <c r="M108" s="26"/>
      <c r="N108" s="26"/>
      <c r="O108" s="26"/>
      <c r="P108" s="26"/>
      <c r="Q108" s="26"/>
      <c r="R108" s="18">
        <f t="shared" si="1"/>
        <v>5053</v>
      </c>
    </row>
    <row r="109" spans="1:18" s="2" customFormat="1" ht="15">
      <c r="A109" s="10" t="s">
        <v>206</v>
      </c>
      <c r="B109" s="9" t="s">
        <v>217</v>
      </c>
      <c r="C109" s="10" t="s">
        <v>218</v>
      </c>
      <c r="D109" s="4">
        <v>5.13</v>
      </c>
      <c r="E109" s="29">
        <v>2014</v>
      </c>
      <c r="F109" s="26">
        <v>382</v>
      </c>
      <c r="G109" s="26">
        <v>306</v>
      </c>
      <c r="H109" s="26">
        <v>315</v>
      </c>
      <c r="I109" s="26">
        <v>322</v>
      </c>
      <c r="J109" s="26">
        <v>361</v>
      </c>
      <c r="K109" s="26"/>
      <c r="L109" s="26"/>
      <c r="M109" s="26"/>
      <c r="N109" s="26"/>
      <c r="O109" s="26"/>
      <c r="P109" s="26"/>
      <c r="Q109" s="26"/>
      <c r="R109" s="18">
        <f t="shared" si="1"/>
        <v>1686</v>
      </c>
    </row>
    <row r="110" spans="1:18" s="2" customFormat="1" ht="15">
      <c r="A110" s="10" t="s">
        <v>206</v>
      </c>
      <c r="B110" s="9" t="s">
        <v>219</v>
      </c>
      <c r="C110" s="10" t="s">
        <v>220</v>
      </c>
      <c r="D110" s="4">
        <v>7.8</v>
      </c>
      <c r="E110" s="29">
        <v>2014</v>
      </c>
      <c r="F110" s="26">
        <v>709</v>
      </c>
      <c r="G110" s="26">
        <v>687</v>
      </c>
      <c r="H110" s="26">
        <v>911</v>
      </c>
      <c r="I110" s="26">
        <v>427</v>
      </c>
      <c r="J110" s="26">
        <v>597</v>
      </c>
      <c r="K110" s="26"/>
      <c r="L110" s="26"/>
      <c r="M110" s="26"/>
      <c r="N110" s="26"/>
      <c r="O110" s="26"/>
      <c r="P110" s="26"/>
      <c r="Q110" s="26"/>
      <c r="R110" s="18">
        <f t="shared" si="1"/>
        <v>3331</v>
      </c>
    </row>
    <row r="111" spans="1:18" s="2" customFormat="1" ht="15">
      <c r="A111" s="10" t="s">
        <v>206</v>
      </c>
      <c r="B111" s="9" t="s">
        <v>221</v>
      </c>
      <c r="C111" s="10" t="s">
        <v>222</v>
      </c>
      <c r="D111" s="4">
        <v>1.92</v>
      </c>
      <c r="E111" s="29">
        <v>2014</v>
      </c>
      <c r="F111" s="26">
        <v>214</v>
      </c>
      <c r="G111" s="26">
        <v>183</v>
      </c>
      <c r="H111" s="26">
        <v>185</v>
      </c>
      <c r="I111" s="26">
        <v>70</v>
      </c>
      <c r="J111" s="26">
        <v>105</v>
      </c>
      <c r="K111" s="26"/>
      <c r="L111" s="26"/>
      <c r="M111" s="26"/>
      <c r="N111" s="26"/>
      <c r="O111" s="26"/>
      <c r="P111" s="26"/>
      <c r="Q111" s="26"/>
      <c r="R111" s="18">
        <f t="shared" si="1"/>
        <v>757</v>
      </c>
    </row>
    <row r="112" spans="1:18" s="2" customFormat="1" ht="15">
      <c r="A112" s="10" t="s">
        <v>206</v>
      </c>
      <c r="B112" s="9" t="s">
        <v>223</v>
      </c>
      <c r="C112" s="10" t="s">
        <v>224</v>
      </c>
      <c r="D112" s="4">
        <v>18.62</v>
      </c>
      <c r="E112" s="29">
        <v>2013</v>
      </c>
      <c r="F112" s="26">
        <v>2234</v>
      </c>
      <c r="G112" s="26">
        <v>2773</v>
      </c>
      <c r="H112" s="26">
        <v>2568</v>
      </c>
      <c r="I112" s="26">
        <v>1656</v>
      </c>
      <c r="J112" s="26">
        <v>1608</v>
      </c>
      <c r="K112" s="26"/>
      <c r="L112" s="26"/>
      <c r="M112" s="26"/>
      <c r="N112" s="26"/>
      <c r="O112" s="26"/>
      <c r="P112" s="26"/>
      <c r="Q112" s="26"/>
      <c r="R112" s="18">
        <f t="shared" si="1"/>
        <v>10839</v>
      </c>
    </row>
    <row r="113" spans="1:18" s="2" customFormat="1" ht="15">
      <c r="A113" s="10" t="s">
        <v>206</v>
      </c>
      <c r="B113" s="9" t="s">
        <v>225</v>
      </c>
      <c r="C113" s="10" t="s">
        <v>226</v>
      </c>
      <c r="D113" s="4">
        <v>19.079999999999998</v>
      </c>
      <c r="E113" s="29">
        <v>2013</v>
      </c>
      <c r="F113" s="26">
        <v>2252</v>
      </c>
      <c r="G113" s="26">
        <v>2520</v>
      </c>
      <c r="H113" s="26">
        <v>2717</v>
      </c>
      <c r="I113" s="26">
        <v>1558</v>
      </c>
      <c r="J113" s="26">
        <v>1646</v>
      </c>
      <c r="K113" s="26"/>
      <c r="L113" s="26"/>
      <c r="M113" s="26"/>
      <c r="N113" s="26"/>
      <c r="O113" s="26"/>
      <c r="P113" s="26"/>
      <c r="Q113" s="26"/>
      <c r="R113" s="18">
        <f t="shared" si="1"/>
        <v>10693</v>
      </c>
    </row>
    <row r="114" spans="1:18" s="2" customFormat="1" ht="15">
      <c r="A114" s="10" t="s">
        <v>206</v>
      </c>
      <c r="B114" s="9" t="s">
        <v>227</v>
      </c>
      <c r="C114" s="10" t="s">
        <v>228</v>
      </c>
      <c r="D114" s="4">
        <v>18.29</v>
      </c>
      <c r="E114" s="29">
        <v>2013</v>
      </c>
      <c r="F114" s="26">
        <v>2195</v>
      </c>
      <c r="G114" s="26">
        <v>3394</v>
      </c>
      <c r="H114" s="26">
        <v>2502</v>
      </c>
      <c r="I114" s="26">
        <v>1899</v>
      </c>
      <c r="J114" s="26">
        <v>1784</v>
      </c>
      <c r="K114" s="26"/>
      <c r="L114" s="26"/>
      <c r="M114" s="26"/>
      <c r="N114" s="26"/>
      <c r="O114" s="26"/>
      <c r="P114" s="26"/>
      <c r="Q114" s="26"/>
      <c r="R114" s="18">
        <f t="shared" si="1"/>
        <v>11774</v>
      </c>
    </row>
    <row r="115" spans="1:18" s="2" customFormat="1" ht="15">
      <c r="A115" s="10" t="s">
        <v>206</v>
      </c>
      <c r="B115" s="9" t="s">
        <v>229</v>
      </c>
      <c r="C115" s="10" t="s">
        <v>230</v>
      </c>
      <c r="D115" s="4">
        <v>20.73</v>
      </c>
      <c r="E115" s="29">
        <v>2013</v>
      </c>
      <c r="F115" s="26">
        <v>1790</v>
      </c>
      <c r="G115" s="26">
        <v>3074</v>
      </c>
      <c r="H115" s="26">
        <v>2317</v>
      </c>
      <c r="I115" s="26">
        <v>1752</v>
      </c>
      <c r="J115" s="26">
        <v>1526</v>
      </c>
      <c r="K115" s="26"/>
      <c r="L115" s="26"/>
      <c r="M115" s="26"/>
      <c r="N115" s="26"/>
      <c r="O115" s="26"/>
      <c r="P115" s="26"/>
      <c r="Q115" s="26"/>
      <c r="R115" s="18">
        <f t="shared" si="1"/>
        <v>10459</v>
      </c>
    </row>
    <row r="116" spans="1:18" s="2" customFormat="1" ht="15">
      <c r="A116" s="10" t="s">
        <v>206</v>
      </c>
      <c r="B116" s="9" t="s">
        <v>231</v>
      </c>
      <c r="C116" s="10" t="s">
        <v>232</v>
      </c>
      <c r="D116" s="4">
        <v>19.010000000000002</v>
      </c>
      <c r="E116" s="29">
        <v>2013</v>
      </c>
      <c r="F116" s="26">
        <v>1660</v>
      </c>
      <c r="G116" s="26">
        <v>2567</v>
      </c>
      <c r="H116" s="26">
        <v>2055</v>
      </c>
      <c r="I116" s="26">
        <v>1764</v>
      </c>
      <c r="J116" s="26">
        <v>1697</v>
      </c>
      <c r="K116" s="26"/>
      <c r="L116" s="26"/>
      <c r="M116" s="26"/>
      <c r="N116" s="26"/>
      <c r="O116" s="26"/>
      <c r="P116" s="26"/>
      <c r="Q116" s="26"/>
      <c r="R116" s="18">
        <f t="shared" si="1"/>
        <v>9743</v>
      </c>
    </row>
    <row r="117" spans="1:18" s="2" customFormat="1" ht="15">
      <c r="A117" s="10" t="s">
        <v>206</v>
      </c>
      <c r="B117" s="9" t="s">
        <v>233</v>
      </c>
      <c r="C117" s="10" t="s">
        <v>234</v>
      </c>
      <c r="D117" s="4">
        <v>29.59</v>
      </c>
      <c r="E117" s="29">
        <v>2013</v>
      </c>
      <c r="F117" s="26">
        <v>2233</v>
      </c>
      <c r="G117" s="26">
        <v>3615</v>
      </c>
      <c r="H117" s="26">
        <v>2884</v>
      </c>
      <c r="I117" s="26">
        <v>2138</v>
      </c>
      <c r="J117" s="26">
        <v>1865</v>
      </c>
      <c r="K117" s="26"/>
      <c r="L117" s="26"/>
      <c r="M117" s="26"/>
      <c r="N117" s="26"/>
      <c r="O117" s="26"/>
      <c r="P117" s="26"/>
      <c r="Q117" s="26"/>
      <c r="R117" s="18">
        <f t="shared" si="1"/>
        <v>12735</v>
      </c>
    </row>
    <row r="118" spans="1:18" s="2" customFormat="1" ht="15">
      <c r="A118" s="10" t="s">
        <v>206</v>
      </c>
      <c r="B118" s="9" t="s">
        <v>235</v>
      </c>
      <c r="C118" s="10" t="s">
        <v>236</v>
      </c>
      <c r="D118" s="4">
        <v>29.75</v>
      </c>
      <c r="E118" s="29">
        <v>2014</v>
      </c>
      <c r="F118" s="26">
        <v>2418</v>
      </c>
      <c r="G118" s="26">
        <v>3727</v>
      </c>
      <c r="H118" s="26">
        <v>2067</v>
      </c>
      <c r="I118" s="26">
        <v>3381</v>
      </c>
      <c r="J118" s="26">
        <v>1784</v>
      </c>
      <c r="K118" s="26"/>
      <c r="L118" s="26"/>
      <c r="M118" s="26"/>
      <c r="N118" s="26"/>
      <c r="O118" s="26"/>
      <c r="P118" s="26"/>
      <c r="Q118" s="26"/>
      <c r="R118" s="18">
        <f t="shared" si="1"/>
        <v>13377</v>
      </c>
    </row>
    <row r="119" spans="1:18" s="2" customFormat="1" ht="15">
      <c r="A119" s="10" t="s">
        <v>206</v>
      </c>
      <c r="B119" s="9" t="s">
        <v>237</v>
      </c>
      <c r="C119" s="10" t="s">
        <v>238</v>
      </c>
      <c r="D119" s="4">
        <v>27.53</v>
      </c>
      <c r="E119" s="29">
        <v>2014</v>
      </c>
      <c r="F119" s="26">
        <v>2575</v>
      </c>
      <c r="G119" s="26">
        <v>2507</v>
      </c>
      <c r="H119" s="26">
        <v>3446</v>
      </c>
      <c r="I119" s="26">
        <v>2813</v>
      </c>
      <c r="J119" s="26">
        <v>1854</v>
      </c>
      <c r="K119" s="26"/>
      <c r="L119" s="26"/>
      <c r="M119" s="26"/>
      <c r="N119" s="26"/>
      <c r="O119" s="26"/>
      <c r="P119" s="26"/>
      <c r="Q119" s="26"/>
      <c r="R119" s="18">
        <f t="shared" si="1"/>
        <v>13195</v>
      </c>
    </row>
    <row r="120" spans="1:18" s="2" customFormat="1" ht="15">
      <c r="A120" s="10" t="s">
        <v>206</v>
      </c>
      <c r="B120" s="9" t="s">
        <v>239</v>
      </c>
      <c r="C120" s="10" t="s">
        <v>240</v>
      </c>
      <c r="D120" s="4">
        <v>2.5499999999999998</v>
      </c>
      <c r="E120" s="29">
        <v>2013</v>
      </c>
      <c r="F120" s="26">
        <v>328</v>
      </c>
      <c r="G120" s="26">
        <v>424</v>
      </c>
      <c r="H120" s="26">
        <v>470</v>
      </c>
      <c r="I120" s="26">
        <v>265</v>
      </c>
      <c r="J120" s="26">
        <v>247</v>
      </c>
      <c r="K120" s="26"/>
      <c r="L120" s="26"/>
      <c r="M120" s="26"/>
      <c r="N120" s="26"/>
      <c r="O120" s="26"/>
      <c r="P120" s="26"/>
      <c r="Q120" s="26"/>
      <c r="R120" s="18">
        <f t="shared" si="1"/>
        <v>1734</v>
      </c>
    </row>
    <row r="121" spans="1:18" s="2" customFormat="1" ht="15">
      <c r="A121" s="10" t="s">
        <v>206</v>
      </c>
      <c r="B121" s="9" t="s">
        <v>241</v>
      </c>
      <c r="C121" s="10" t="s">
        <v>242</v>
      </c>
      <c r="D121" s="4">
        <v>17.64</v>
      </c>
      <c r="E121" s="29">
        <v>2014</v>
      </c>
      <c r="F121" s="26">
        <v>1902</v>
      </c>
      <c r="G121" s="26">
        <v>2541</v>
      </c>
      <c r="H121" s="26">
        <v>2956</v>
      </c>
      <c r="I121" s="26">
        <v>1951</v>
      </c>
      <c r="J121" s="26">
        <v>1277</v>
      </c>
      <c r="K121" s="26"/>
      <c r="L121" s="26"/>
      <c r="M121" s="26"/>
      <c r="N121" s="26"/>
      <c r="O121" s="26"/>
      <c r="P121" s="26"/>
      <c r="Q121" s="26"/>
      <c r="R121" s="18">
        <f t="shared" si="1"/>
        <v>10627</v>
      </c>
    </row>
    <row r="122" spans="1:18" s="2" customFormat="1" ht="15">
      <c r="A122" s="10" t="s">
        <v>206</v>
      </c>
      <c r="B122" s="9" t="s">
        <v>243</v>
      </c>
      <c r="C122" s="10" t="s">
        <v>244</v>
      </c>
      <c r="D122" s="4">
        <v>3.81</v>
      </c>
      <c r="E122" s="29">
        <v>2013</v>
      </c>
      <c r="F122" s="26">
        <v>287</v>
      </c>
      <c r="G122" s="26">
        <v>364</v>
      </c>
      <c r="H122" s="26">
        <v>428</v>
      </c>
      <c r="I122" s="26">
        <v>370</v>
      </c>
      <c r="J122" s="26">
        <v>298</v>
      </c>
      <c r="K122" s="26"/>
      <c r="L122" s="26"/>
      <c r="M122" s="26"/>
      <c r="N122" s="26"/>
      <c r="O122" s="26"/>
      <c r="P122" s="26"/>
      <c r="Q122" s="26"/>
      <c r="R122" s="18">
        <f t="shared" si="1"/>
        <v>1747</v>
      </c>
    </row>
    <row r="123" spans="1:18" s="2" customFormat="1" ht="15">
      <c r="A123" s="10" t="s">
        <v>206</v>
      </c>
      <c r="B123" s="9" t="s">
        <v>245</v>
      </c>
      <c r="C123" s="10" t="s">
        <v>246</v>
      </c>
      <c r="D123" s="4">
        <v>15.59</v>
      </c>
      <c r="E123" s="28">
        <v>2014</v>
      </c>
      <c r="F123" s="26">
        <v>2016</v>
      </c>
      <c r="G123" s="26">
        <v>1943</v>
      </c>
      <c r="H123" s="26">
        <v>2771</v>
      </c>
      <c r="I123" s="26">
        <v>1667</v>
      </c>
      <c r="J123" s="26">
        <v>860</v>
      </c>
      <c r="K123" s="26"/>
      <c r="L123" s="26"/>
      <c r="M123" s="26"/>
      <c r="N123" s="26"/>
      <c r="O123" s="26"/>
      <c r="P123" s="26"/>
      <c r="Q123" s="26"/>
      <c r="R123" s="18">
        <f t="shared" si="1"/>
        <v>9257</v>
      </c>
    </row>
    <row r="124" spans="1:18" s="2" customFormat="1" ht="15">
      <c r="A124" s="10" t="s">
        <v>206</v>
      </c>
      <c r="B124" s="9" t="s">
        <v>247</v>
      </c>
      <c r="C124" s="10" t="s">
        <v>248</v>
      </c>
      <c r="D124" s="4">
        <v>19.12</v>
      </c>
      <c r="E124" s="28">
        <v>2014</v>
      </c>
      <c r="F124" s="26">
        <v>2246</v>
      </c>
      <c r="G124" s="26">
        <v>2120</v>
      </c>
      <c r="H124" s="26">
        <v>2469</v>
      </c>
      <c r="I124" s="26">
        <v>1578</v>
      </c>
      <c r="J124" s="26">
        <v>981</v>
      </c>
      <c r="K124" s="26"/>
      <c r="L124" s="26"/>
      <c r="M124" s="26"/>
      <c r="N124" s="26"/>
      <c r="O124" s="26"/>
      <c r="P124" s="26"/>
      <c r="Q124" s="26"/>
      <c r="R124" s="18">
        <f t="shared" si="1"/>
        <v>9394</v>
      </c>
    </row>
    <row r="125" spans="1:18" s="2" customFormat="1" ht="15">
      <c r="A125" s="10" t="s">
        <v>206</v>
      </c>
      <c r="B125" s="9" t="s">
        <v>249</v>
      </c>
      <c r="C125" s="10" t="s">
        <v>250</v>
      </c>
      <c r="D125" s="4">
        <v>22.93</v>
      </c>
      <c r="E125" s="28">
        <v>2013</v>
      </c>
      <c r="F125" s="26">
        <v>3385</v>
      </c>
      <c r="G125" s="26">
        <v>2538</v>
      </c>
      <c r="H125" s="26">
        <v>3814</v>
      </c>
      <c r="I125" s="26">
        <v>2420</v>
      </c>
      <c r="J125" s="26">
        <v>1402</v>
      </c>
      <c r="K125" s="26"/>
      <c r="L125" s="26"/>
      <c r="M125" s="26"/>
      <c r="N125" s="26"/>
      <c r="O125" s="26"/>
      <c r="P125" s="26"/>
      <c r="Q125" s="26"/>
      <c r="R125" s="18">
        <f t="shared" si="1"/>
        <v>13559</v>
      </c>
    </row>
    <row r="126" spans="1:18" s="2" customFormat="1" ht="15">
      <c r="A126" s="10" t="s">
        <v>206</v>
      </c>
      <c r="B126" s="9" t="s">
        <v>251</v>
      </c>
      <c r="C126" s="10" t="s">
        <v>252</v>
      </c>
      <c r="D126" s="4">
        <v>20.34</v>
      </c>
      <c r="E126" s="28">
        <v>2013</v>
      </c>
      <c r="F126" s="26">
        <v>3420</v>
      </c>
      <c r="G126" s="26">
        <v>2417</v>
      </c>
      <c r="H126" s="26">
        <v>3505</v>
      </c>
      <c r="I126" s="26">
        <v>2655</v>
      </c>
      <c r="J126" s="26">
        <v>1712</v>
      </c>
      <c r="K126" s="26"/>
      <c r="L126" s="26"/>
      <c r="M126" s="26"/>
      <c r="N126" s="26"/>
      <c r="O126" s="26"/>
      <c r="P126" s="26"/>
      <c r="Q126" s="26"/>
      <c r="R126" s="18">
        <f t="shared" si="1"/>
        <v>13709</v>
      </c>
    </row>
    <row r="127" spans="1:18" s="2" customFormat="1" ht="15">
      <c r="A127" s="10" t="s">
        <v>206</v>
      </c>
      <c r="B127" s="9" t="s">
        <v>253</v>
      </c>
      <c r="C127" s="10" t="s">
        <v>254</v>
      </c>
      <c r="D127" s="4">
        <v>19.87</v>
      </c>
      <c r="E127" s="29">
        <v>2014</v>
      </c>
      <c r="F127" s="26">
        <v>2249</v>
      </c>
      <c r="G127" s="26">
        <v>1882</v>
      </c>
      <c r="H127" s="26">
        <v>2473</v>
      </c>
      <c r="I127" s="26">
        <v>1607</v>
      </c>
      <c r="J127" s="26">
        <v>1018</v>
      </c>
      <c r="K127" s="26"/>
      <c r="L127" s="26"/>
      <c r="M127" s="26"/>
      <c r="N127" s="26"/>
      <c r="O127" s="26"/>
      <c r="P127" s="26"/>
      <c r="Q127" s="26"/>
      <c r="R127" s="18">
        <f t="shared" si="1"/>
        <v>9229</v>
      </c>
    </row>
    <row r="128" spans="1:18" s="2" customFormat="1" ht="15">
      <c r="A128" s="10" t="s">
        <v>206</v>
      </c>
      <c r="B128" s="9" t="s">
        <v>255</v>
      </c>
      <c r="C128" s="10" t="s">
        <v>256</v>
      </c>
      <c r="D128" s="4">
        <v>21.37</v>
      </c>
      <c r="E128" s="29">
        <v>2014</v>
      </c>
      <c r="F128" s="26">
        <v>2106</v>
      </c>
      <c r="G128" s="26">
        <v>1960</v>
      </c>
      <c r="H128" s="26">
        <v>3000</v>
      </c>
      <c r="I128" s="26">
        <v>2163</v>
      </c>
      <c r="J128" s="26">
        <v>1040</v>
      </c>
      <c r="K128" s="26"/>
      <c r="L128" s="26"/>
      <c r="M128" s="26"/>
      <c r="N128" s="26"/>
      <c r="O128" s="26"/>
      <c r="P128" s="26"/>
      <c r="Q128" s="26"/>
      <c r="R128" s="18">
        <f t="shared" si="1"/>
        <v>10269</v>
      </c>
    </row>
    <row r="129" spans="1:18" s="2" customFormat="1" ht="15">
      <c r="A129" s="10" t="s">
        <v>206</v>
      </c>
      <c r="B129" s="9" t="s">
        <v>257</v>
      </c>
      <c r="C129" s="10" t="s">
        <v>258</v>
      </c>
      <c r="D129" s="4">
        <v>21.08</v>
      </c>
      <c r="E129" s="28">
        <v>2014</v>
      </c>
      <c r="F129" s="26">
        <v>2387</v>
      </c>
      <c r="G129" s="26">
        <v>1849</v>
      </c>
      <c r="H129" s="26">
        <v>2141</v>
      </c>
      <c r="I129" s="26">
        <v>1808</v>
      </c>
      <c r="J129" s="26">
        <v>955</v>
      </c>
      <c r="K129" s="26"/>
      <c r="L129" s="26"/>
      <c r="M129" s="26"/>
      <c r="N129" s="26"/>
      <c r="O129" s="26"/>
      <c r="P129" s="26"/>
      <c r="Q129" s="26"/>
      <c r="R129" s="18">
        <f t="shared" si="1"/>
        <v>9140</v>
      </c>
    </row>
    <row r="130" spans="1:18" s="2" customFormat="1" ht="15">
      <c r="A130" s="10" t="s">
        <v>206</v>
      </c>
      <c r="B130" s="9" t="s">
        <v>259</v>
      </c>
      <c r="C130" s="10" t="s">
        <v>260</v>
      </c>
      <c r="D130" s="4">
        <v>20.48</v>
      </c>
      <c r="E130" s="29">
        <v>2014</v>
      </c>
      <c r="F130" s="26">
        <v>2054</v>
      </c>
      <c r="G130" s="26">
        <v>1843</v>
      </c>
      <c r="H130" s="26">
        <v>2740</v>
      </c>
      <c r="I130" s="26">
        <v>2172</v>
      </c>
      <c r="J130" s="26">
        <v>1265</v>
      </c>
      <c r="K130" s="26"/>
      <c r="L130" s="26"/>
      <c r="M130" s="26"/>
      <c r="N130" s="26"/>
      <c r="O130" s="26"/>
      <c r="P130" s="26"/>
      <c r="Q130" s="26"/>
      <c r="R130" s="18">
        <f t="shared" si="1"/>
        <v>10074</v>
      </c>
    </row>
    <row r="131" spans="1:18" s="2" customFormat="1" ht="15">
      <c r="A131" s="10" t="s">
        <v>206</v>
      </c>
      <c r="B131" s="9" t="s">
        <v>261</v>
      </c>
      <c r="C131" s="10" t="s">
        <v>262</v>
      </c>
      <c r="D131" s="4">
        <v>18.84</v>
      </c>
      <c r="E131" s="29">
        <v>2014</v>
      </c>
      <c r="F131" s="26">
        <v>2465</v>
      </c>
      <c r="G131" s="26">
        <v>1922</v>
      </c>
      <c r="H131" s="26">
        <v>2903</v>
      </c>
      <c r="I131" s="26">
        <v>1638</v>
      </c>
      <c r="J131" s="26">
        <v>2029</v>
      </c>
      <c r="K131" s="26"/>
      <c r="L131" s="26"/>
      <c r="M131" s="26"/>
      <c r="N131" s="26"/>
      <c r="O131" s="26"/>
      <c r="P131" s="26"/>
      <c r="Q131" s="26"/>
      <c r="R131" s="18">
        <f t="shared" ref="R131:R194" si="2">SUM(F131:Q131)</f>
        <v>10957</v>
      </c>
    </row>
    <row r="132" spans="1:18" s="2" customFormat="1" ht="15">
      <c r="A132" s="10" t="s">
        <v>206</v>
      </c>
      <c r="B132" s="9" t="s">
        <v>263</v>
      </c>
      <c r="C132" s="10" t="s">
        <v>264</v>
      </c>
      <c r="D132" s="4">
        <v>18.350000000000001</v>
      </c>
      <c r="E132" s="29">
        <v>2014</v>
      </c>
      <c r="F132" s="26">
        <v>2854</v>
      </c>
      <c r="G132" s="26">
        <v>2012</v>
      </c>
      <c r="H132" s="26">
        <v>2911</v>
      </c>
      <c r="I132" s="26">
        <v>932</v>
      </c>
      <c r="J132" s="26">
        <v>1758</v>
      </c>
      <c r="K132" s="26"/>
      <c r="L132" s="26"/>
      <c r="M132" s="26"/>
      <c r="N132" s="26"/>
      <c r="O132" s="26"/>
      <c r="P132" s="26"/>
      <c r="Q132" s="26"/>
      <c r="R132" s="18">
        <f t="shared" si="2"/>
        <v>10467</v>
      </c>
    </row>
    <row r="133" spans="1:18" s="2" customFormat="1" ht="15">
      <c r="A133" s="10" t="s">
        <v>206</v>
      </c>
      <c r="B133" s="9" t="s">
        <v>265</v>
      </c>
      <c r="C133" s="10" t="s">
        <v>266</v>
      </c>
      <c r="D133" s="4">
        <v>18.25</v>
      </c>
      <c r="E133" s="29">
        <v>2014</v>
      </c>
      <c r="F133" s="26">
        <v>3252</v>
      </c>
      <c r="G133" s="26">
        <v>2556</v>
      </c>
      <c r="H133" s="26">
        <v>2025</v>
      </c>
      <c r="I133" s="26">
        <v>1115</v>
      </c>
      <c r="J133" s="26">
        <v>1608</v>
      </c>
      <c r="K133" s="26"/>
      <c r="L133" s="26"/>
      <c r="M133" s="26"/>
      <c r="N133" s="26"/>
      <c r="O133" s="26"/>
      <c r="P133" s="26"/>
      <c r="Q133" s="26"/>
      <c r="R133" s="18">
        <f t="shared" si="2"/>
        <v>10556</v>
      </c>
    </row>
    <row r="134" spans="1:18" s="2" customFormat="1" ht="15">
      <c r="A134" s="10" t="s">
        <v>206</v>
      </c>
      <c r="B134" s="9" t="s">
        <v>267</v>
      </c>
      <c r="C134" s="10" t="s">
        <v>268</v>
      </c>
      <c r="D134" s="4">
        <v>5</v>
      </c>
      <c r="E134" s="29">
        <v>2014</v>
      </c>
      <c r="F134" s="26">
        <v>457</v>
      </c>
      <c r="G134" s="26">
        <v>649</v>
      </c>
      <c r="H134" s="26">
        <v>377</v>
      </c>
      <c r="I134" s="26">
        <v>360</v>
      </c>
      <c r="J134" s="26">
        <v>801</v>
      </c>
      <c r="K134" s="26"/>
      <c r="L134" s="26"/>
      <c r="M134" s="26"/>
      <c r="N134" s="26"/>
      <c r="O134" s="26"/>
      <c r="P134" s="26"/>
      <c r="Q134" s="26"/>
      <c r="R134" s="18">
        <f t="shared" si="2"/>
        <v>2644</v>
      </c>
    </row>
    <row r="135" spans="1:18" s="2" customFormat="1" ht="15">
      <c r="A135" s="10" t="s">
        <v>206</v>
      </c>
      <c r="B135" s="9" t="s">
        <v>269</v>
      </c>
      <c r="C135" s="10" t="s">
        <v>268</v>
      </c>
      <c r="D135" s="4">
        <v>17.38</v>
      </c>
      <c r="E135" s="29">
        <v>2013</v>
      </c>
      <c r="F135" s="26">
        <v>1842</v>
      </c>
      <c r="G135" s="26">
        <v>2657</v>
      </c>
      <c r="H135" s="26">
        <v>1812</v>
      </c>
      <c r="I135" s="26">
        <v>1231</v>
      </c>
      <c r="J135" s="26">
        <v>1948</v>
      </c>
      <c r="K135" s="26"/>
      <c r="L135" s="26"/>
      <c r="M135" s="26"/>
      <c r="N135" s="26"/>
      <c r="O135" s="26"/>
      <c r="P135" s="26"/>
      <c r="Q135" s="26"/>
      <c r="R135" s="18">
        <f t="shared" si="2"/>
        <v>9490</v>
      </c>
    </row>
    <row r="136" spans="1:18" s="2" customFormat="1" ht="15">
      <c r="A136" s="10" t="s">
        <v>206</v>
      </c>
      <c r="B136" s="9" t="s">
        <v>270</v>
      </c>
      <c r="C136" s="10" t="s">
        <v>271</v>
      </c>
      <c r="D136" s="4">
        <v>10.6</v>
      </c>
      <c r="E136" s="29">
        <v>2014</v>
      </c>
      <c r="F136" s="26">
        <v>1440</v>
      </c>
      <c r="G136" s="26">
        <v>1557</v>
      </c>
      <c r="H136" s="26">
        <v>994</v>
      </c>
      <c r="I136" s="26">
        <v>1167</v>
      </c>
      <c r="J136" s="26">
        <v>1008</v>
      </c>
      <c r="K136" s="26"/>
      <c r="L136" s="26"/>
      <c r="M136" s="26"/>
      <c r="N136" s="26"/>
      <c r="O136" s="26"/>
      <c r="P136" s="26"/>
      <c r="Q136" s="26"/>
      <c r="R136" s="18">
        <f t="shared" si="2"/>
        <v>6166</v>
      </c>
    </row>
    <row r="137" spans="1:18" s="2" customFormat="1" ht="15">
      <c r="A137" s="10" t="s">
        <v>206</v>
      </c>
      <c r="B137" s="9" t="s">
        <v>272</v>
      </c>
      <c r="C137" s="10" t="s">
        <v>273</v>
      </c>
      <c r="D137" s="4">
        <v>16.79</v>
      </c>
      <c r="E137" s="29">
        <v>2014</v>
      </c>
      <c r="F137" s="26">
        <v>1258</v>
      </c>
      <c r="G137" s="26">
        <v>2525</v>
      </c>
      <c r="H137" s="26">
        <v>1493</v>
      </c>
      <c r="I137" s="26">
        <v>1871</v>
      </c>
      <c r="J137" s="26">
        <v>1877</v>
      </c>
      <c r="K137" s="26"/>
      <c r="L137" s="26"/>
      <c r="M137" s="26"/>
      <c r="N137" s="26"/>
      <c r="O137" s="26"/>
      <c r="P137" s="26"/>
      <c r="Q137" s="26"/>
      <c r="R137" s="18">
        <f t="shared" si="2"/>
        <v>9024</v>
      </c>
    </row>
    <row r="138" spans="1:18" s="2" customFormat="1" ht="15">
      <c r="A138" s="10" t="s">
        <v>206</v>
      </c>
      <c r="B138" s="9" t="s">
        <v>274</v>
      </c>
      <c r="C138" s="10" t="s">
        <v>275</v>
      </c>
      <c r="D138" s="4">
        <v>20.84</v>
      </c>
      <c r="E138" s="29">
        <v>2014</v>
      </c>
      <c r="F138" s="26">
        <v>2678</v>
      </c>
      <c r="G138" s="26">
        <v>2813</v>
      </c>
      <c r="H138" s="26">
        <v>2183</v>
      </c>
      <c r="I138" s="26">
        <v>2073</v>
      </c>
      <c r="J138" s="26">
        <v>1608</v>
      </c>
      <c r="K138" s="26"/>
      <c r="L138" s="26"/>
      <c r="M138" s="26"/>
      <c r="N138" s="26"/>
      <c r="O138" s="26"/>
      <c r="P138" s="26"/>
      <c r="Q138" s="26"/>
      <c r="R138" s="18">
        <f t="shared" si="2"/>
        <v>11355</v>
      </c>
    </row>
    <row r="139" spans="1:18" s="2" customFormat="1" ht="15">
      <c r="A139" s="10" t="s">
        <v>206</v>
      </c>
      <c r="B139" s="9" t="s">
        <v>276</v>
      </c>
      <c r="C139" s="10" t="s">
        <v>277</v>
      </c>
      <c r="D139" s="4">
        <v>20.239999999999998</v>
      </c>
      <c r="E139" s="29">
        <v>2014</v>
      </c>
      <c r="F139" s="26">
        <v>2931</v>
      </c>
      <c r="G139" s="26">
        <v>2411</v>
      </c>
      <c r="H139" s="26">
        <v>1712</v>
      </c>
      <c r="I139" s="26">
        <v>2392</v>
      </c>
      <c r="J139" s="26">
        <v>1711</v>
      </c>
      <c r="K139" s="26"/>
      <c r="L139" s="26"/>
      <c r="M139" s="26"/>
      <c r="N139" s="26"/>
      <c r="O139" s="26"/>
      <c r="P139" s="26"/>
      <c r="Q139" s="26"/>
      <c r="R139" s="18">
        <f t="shared" si="2"/>
        <v>11157</v>
      </c>
    </row>
    <row r="140" spans="1:18" s="2" customFormat="1" ht="15">
      <c r="A140" s="10" t="s">
        <v>206</v>
      </c>
      <c r="B140" s="9" t="s">
        <v>278</v>
      </c>
      <c r="C140" s="10" t="s">
        <v>279</v>
      </c>
      <c r="D140" s="4">
        <v>16.21</v>
      </c>
      <c r="E140" s="29">
        <v>2014</v>
      </c>
      <c r="F140" s="26">
        <v>2583</v>
      </c>
      <c r="G140" s="26">
        <v>2080</v>
      </c>
      <c r="H140" s="26">
        <v>2228</v>
      </c>
      <c r="I140" s="26">
        <v>1328</v>
      </c>
      <c r="J140" s="26">
        <v>1633</v>
      </c>
      <c r="K140" s="26"/>
      <c r="L140" s="26"/>
      <c r="M140" s="26"/>
      <c r="N140" s="26"/>
      <c r="O140" s="26"/>
      <c r="P140" s="26"/>
      <c r="Q140" s="26"/>
      <c r="R140" s="18">
        <f t="shared" si="2"/>
        <v>9852</v>
      </c>
    </row>
    <row r="141" spans="1:18" s="2" customFormat="1" ht="15">
      <c r="A141" s="10" t="s">
        <v>206</v>
      </c>
      <c r="B141" s="9" t="s">
        <v>280</v>
      </c>
      <c r="C141" s="10" t="s">
        <v>281</v>
      </c>
      <c r="D141" s="4">
        <v>11.18</v>
      </c>
      <c r="E141" s="29">
        <v>2013</v>
      </c>
      <c r="F141" s="26">
        <v>1799</v>
      </c>
      <c r="G141" s="26">
        <v>1300</v>
      </c>
      <c r="H141" s="26">
        <v>1814</v>
      </c>
      <c r="I141" s="26">
        <v>884</v>
      </c>
      <c r="J141" s="26">
        <v>1626</v>
      </c>
      <c r="K141" s="26"/>
      <c r="L141" s="26"/>
      <c r="M141" s="26"/>
      <c r="N141" s="26"/>
      <c r="O141" s="26"/>
      <c r="P141" s="26"/>
      <c r="Q141" s="26"/>
      <c r="R141" s="18">
        <f t="shared" si="2"/>
        <v>7423</v>
      </c>
    </row>
    <row r="142" spans="1:18" s="2" customFormat="1" ht="15">
      <c r="A142" s="10" t="s">
        <v>206</v>
      </c>
      <c r="B142" s="9" t="s">
        <v>282</v>
      </c>
      <c r="C142" s="10" t="s">
        <v>283</v>
      </c>
      <c r="D142" s="4">
        <v>1.56</v>
      </c>
      <c r="E142" s="29">
        <v>2014</v>
      </c>
      <c r="F142" s="26">
        <v>117</v>
      </c>
      <c r="G142" s="26">
        <v>115</v>
      </c>
      <c r="H142" s="26">
        <v>147</v>
      </c>
      <c r="I142" s="26">
        <v>42</v>
      </c>
      <c r="J142" s="26">
        <v>185</v>
      </c>
      <c r="K142" s="26"/>
      <c r="L142" s="26"/>
      <c r="M142" s="26"/>
      <c r="N142" s="26"/>
      <c r="O142" s="26"/>
      <c r="P142" s="26"/>
      <c r="Q142" s="26"/>
      <c r="R142" s="18">
        <f t="shared" si="2"/>
        <v>606</v>
      </c>
    </row>
    <row r="143" spans="1:18" s="2" customFormat="1" ht="15">
      <c r="A143" s="10" t="s">
        <v>206</v>
      </c>
      <c r="B143" s="9" t="s">
        <v>284</v>
      </c>
      <c r="C143" s="10" t="s">
        <v>285</v>
      </c>
      <c r="D143" s="4">
        <v>18.09</v>
      </c>
      <c r="E143" s="29">
        <v>2014</v>
      </c>
      <c r="F143" s="26">
        <v>2322</v>
      </c>
      <c r="G143" s="26">
        <v>1438</v>
      </c>
      <c r="H143" s="26">
        <v>2584</v>
      </c>
      <c r="I143" s="26">
        <v>1101</v>
      </c>
      <c r="J143" s="26">
        <v>1109</v>
      </c>
      <c r="K143" s="26"/>
      <c r="L143" s="26"/>
      <c r="M143" s="26"/>
      <c r="N143" s="26"/>
      <c r="O143" s="26"/>
      <c r="P143" s="26"/>
      <c r="Q143" s="26"/>
      <c r="R143" s="18">
        <f t="shared" si="2"/>
        <v>8554</v>
      </c>
    </row>
    <row r="144" spans="1:18" s="2" customFormat="1" ht="15">
      <c r="A144" s="10" t="s">
        <v>206</v>
      </c>
      <c r="B144" s="9" t="s">
        <v>286</v>
      </c>
      <c r="C144" s="10" t="s">
        <v>287</v>
      </c>
      <c r="D144" s="4">
        <v>18.41</v>
      </c>
      <c r="E144" s="29">
        <v>2014</v>
      </c>
      <c r="F144" s="26">
        <v>1796</v>
      </c>
      <c r="G144" s="26">
        <v>1347</v>
      </c>
      <c r="H144" s="26">
        <v>1924</v>
      </c>
      <c r="I144" s="26">
        <v>1075</v>
      </c>
      <c r="J144" s="26">
        <v>2392</v>
      </c>
      <c r="K144" s="26"/>
      <c r="L144" s="26"/>
      <c r="M144" s="26"/>
      <c r="N144" s="26"/>
      <c r="O144" s="26"/>
      <c r="P144" s="26"/>
      <c r="Q144" s="26"/>
      <c r="R144" s="18">
        <f t="shared" si="2"/>
        <v>8534</v>
      </c>
    </row>
    <row r="145" spans="1:18" s="2" customFormat="1" ht="15">
      <c r="A145" s="10" t="s">
        <v>206</v>
      </c>
      <c r="B145" s="9" t="s">
        <v>288</v>
      </c>
      <c r="C145" s="10" t="s">
        <v>289</v>
      </c>
      <c r="D145" s="4">
        <v>22.45</v>
      </c>
      <c r="E145" s="29">
        <v>2014</v>
      </c>
      <c r="F145" s="26">
        <v>1581</v>
      </c>
      <c r="G145" s="26">
        <v>1229</v>
      </c>
      <c r="H145" s="26">
        <v>2062</v>
      </c>
      <c r="I145" s="26">
        <v>1007</v>
      </c>
      <c r="J145" s="26">
        <v>1730</v>
      </c>
      <c r="K145" s="26"/>
      <c r="L145" s="26"/>
      <c r="M145" s="26"/>
      <c r="N145" s="26"/>
      <c r="O145" s="26"/>
      <c r="P145" s="26"/>
      <c r="Q145" s="26"/>
      <c r="R145" s="18">
        <f t="shared" si="2"/>
        <v>7609</v>
      </c>
    </row>
    <row r="146" spans="1:18" s="2" customFormat="1" ht="15">
      <c r="A146" s="10" t="s">
        <v>206</v>
      </c>
      <c r="B146" s="9" t="s">
        <v>290</v>
      </c>
      <c r="C146" s="10" t="s">
        <v>291</v>
      </c>
      <c r="D146" s="4">
        <v>19.89</v>
      </c>
      <c r="E146" s="29">
        <v>2014</v>
      </c>
      <c r="F146" s="26">
        <v>2220</v>
      </c>
      <c r="G146" s="26">
        <v>1612</v>
      </c>
      <c r="H146" s="26">
        <v>2731</v>
      </c>
      <c r="I146" s="26">
        <v>1152</v>
      </c>
      <c r="J146" s="26">
        <v>2183</v>
      </c>
      <c r="K146" s="26"/>
      <c r="L146" s="26"/>
      <c r="M146" s="26"/>
      <c r="N146" s="26"/>
      <c r="O146" s="26"/>
      <c r="P146" s="26"/>
      <c r="Q146" s="26"/>
      <c r="R146" s="18">
        <f t="shared" si="2"/>
        <v>9898</v>
      </c>
    </row>
    <row r="147" spans="1:18" s="2" customFormat="1" ht="15">
      <c r="A147" s="10" t="s">
        <v>206</v>
      </c>
      <c r="B147" s="9" t="s">
        <v>292</v>
      </c>
      <c r="C147" s="10" t="s">
        <v>293</v>
      </c>
      <c r="D147" s="4">
        <v>8.4700000000000006</v>
      </c>
      <c r="E147" s="29">
        <v>2014</v>
      </c>
      <c r="F147" s="26">
        <v>855</v>
      </c>
      <c r="G147" s="26">
        <v>648</v>
      </c>
      <c r="H147" s="26">
        <v>1279</v>
      </c>
      <c r="I147" s="26">
        <v>584</v>
      </c>
      <c r="J147" s="26">
        <v>863</v>
      </c>
      <c r="K147" s="26"/>
      <c r="L147" s="26"/>
      <c r="M147" s="26"/>
      <c r="N147" s="26"/>
      <c r="O147" s="26"/>
      <c r="P147" s="26"/>
      <c r="Q147" s="26"/>
      <c r="R147" s="18">
        <f t="shared" si="2"/>
        <v>4229</v>
      </c>
    </row>
    <row r="148" spans="1:18" s="2" customFormat="1" ht="15">
      <c r="A148" s="10" t="s">
        <v>206</v>
      </c>
      <c r="B148" s="9" t="s">
        <v>294</v>
      </c>
      <c r="C148" s="10" t="s">
        <v>295</v>
      </c>
      <c r="D148" s="4">
        <v>8.9700000000000006</v>
      </c>
      <c r="E148" s="29">
        <v>2014</v>
      </c>
      <c r="F148" s="26">
        <v>1001</v>
      </c>
      <c r="G148" s="26">
        <v>936</v>
      </c>
      <c r="H148" s="26">
        <v>1411</v>
      </c>
      <c r="I148" s="26">
        <v>723</v>
      </c>
      <c r="J148" s="26">
        <v>701</v>
      </c>
      <c r="K148" s="26"/>
      <c r="L148" s="26"/>
      <c r="M148" s="26"/>
      <c r="N148" s="26"/>
      <c r="O148" s="26"/>
      <c r="P148" s="26"/>
      <c r="Q148" s="26"/>
      <c r="R148" s="18">
        <f t="shared" si="2"/>
        <v>4772</v>
      </c>
    </row>
    <row r="149" spans="1:18" s="2" customFormat="1" ht="15">
      <c r="A149" s="10" t="s">
        <v>206</v>
      </c>
      <c r="B149" s="9" t="s">
        <v>296</v>
      </c>
      <c r="C149" s="10" t="s">
        <v>297</v>
      </c>
      <c r="D149" s="4">
        <v>6.95</v>
      </c>
      <c r="E149" s="29">
        <v>2014</v>
      </c>
      <c r="F149" s="26">
        <v>1052</v>
      </c>
      <c r="G149" s="26">
        <v>733</v>
      </c>
      <c r="H149" s="26">
        <v>1261</v>
      </c>
      <c r="I149" s="26">
        <v>656</v>
      </c>
      <c r="J149" s="26">
        <v>1219</v>
      </c>
      <c r="K149" s="26"/>
      <c r="L149" s="26"/>
      <c r="M149" s="26"/>
      <c r="N149" s="26"/>
      <c r="O149" s="26"/>
      <c r="P149" s="26"/>
      <c r="Q149" s="26"/>
      <c r="R149" s="18">
        <f t="shared" si="2"/>
        <v>4921</v>
      </c>
    </row>
    <row r="150" spans="1:18" s="2" customFormat="1" ht="15">
      <c r="A150" s="10" t="s">
        <v>206</v>
      </c>
      <c r="B150" s="9" t="s">
        <v>298</v>
      </c>
      <c r="C150" s="10" t="s">
        <v>299</v>
      </c>
      <c r="D150" s="4">
        <v>4.2</v>
      </c>
      <c r="E150" s="29">
        <v>2021</v>
      </c>
      <c r="F150" s="26">
        <v>174</v>
      </c>
      <c r="G150" s="26">
        <v>373</v>
      </c>
      <c r="H150" s="26">
        <v>186</v>
      </c>
      <c r="I150" s="26">
        <v>335</v>
      </c>
      <c r="J150" s="26">
        <v>557</v>
      </c>
      <c r="K150" s="26"/>
      <c r="L150" s="26"/>
      <c r="M150" s="26"/>
      <c r="N150" s="26"/>
      <c r="O150" s="26"/>
      <c r="P150" s="26"/>
      <c r="Q150" s="26"/>
      <c r="R150" s="18">
        <f t="shared" si="2"/>
        <v>1625</v>
      </c>
    </row>
    <row r="151" spans="1:18" s="2" customFormat="1" ht="20.100000000000001" customHeight="1">
      <c r="A151" s="10" t="s">
        <v>300</v>
      </c>
      <c r="B151" s="9" t="s">
        <v>301</v>
      </c>
      <c r="C151" s="10" t="s">
        <v>302</v>
      </c>
      <c r="D151" s="4">
        <v>20.02</v>
      </c>
      <c r="E151" s="29">
        <v>2011</v>
      </c>
      <c r="F151" s="26">
        <v>2155</v>
      </c>
      <c r="G151" s="26">
        <v>2491</v>
      </c>
      <c r="H151" s="26">
        <v>1823</v>
      </c>
      <c r="I151" s="26">
        <v>2077</v>
      </c>
      <c r="J151" s="26">
        <v>2161</v>
      </c>
      <c r="K151" s="26"/>
      <c r="L151" s="26"/>
      <c r="M151" s="26"/>
      <c r="N151" s="26"/>
      <c r="O151" s="26"/>
      <c r="P151" s="26"/>
      <c r="Q151" s="26"/>
      <c r="R151" s="18">
        <f t="shared" si="2"/>
        <v>10707</v>
      </c>
    </row>
    <row r="152" spans="1:18" s="2" customFormat="1" ht="20.100000000000001" customHeight="1">
      <c r="A152" s="10" t="s">
        <v>300</v>
      </c>
      <c r="B152" s="9" t="s">
        <v>303</v>
      </c>
      <c r="C152" s="10" t="s">
        <v>304</v>
      </c>
      <c r="D152" s="4">
        <v>16.62</v>
      </c>
      <c r="E152" s="29">
        <v>2011</v>
      </c>
      <c r="F152" s="26">
        <v>1164</v>
      </c>
      <c r="G152" s="26">
        <v>1357</v>
      </c>
      <c r="H152" s="26">
        <v>1808</v>
      </c>
      <c r="I152" s="26">
        <v>1778</v>
      </c>
      <c r="J152" s="26">
        <v>1282</v>
      </c>
      <c r="K152" s="26"/>
      <c r="L152" s="26"/>
      <c r="M152" s="26"/>
      <c r="N152" s="26"/>
      <c r="O152" s="26"/>
      <c r="P152" s="26"/>
      <c r="Q152" s="26"/>
      <c r="R152" s="18">
        <f t="shared" si="2"/>
        <v>7389</v>
      </c>
    </row>
    <row r="153" spans="1:18" s="2" customFormat="1" ht="20.100000000000001" customHeight="1">
      <c r="A153" s="10" t="s">
        <v>300</v>
      </c>
      <c r="B153" s="9" t="s">
        <v>305</v>
      </c>
      <c r="C153" s="10" t="s">
        <v>306</v>
      </c>
      <c r="D153" s="4">
        <v>15.76</v>
      </c>
      <c r="E153" s="29">
        <v>2011</v>
      </c>
      <c r="F153" s="26">
        <v>812</v>
      </c>
      <c r="G153" s="26">
        <v>888</v>
      </c>
      <c r="H153" s="26">
        <v>1371</v>
      </c>
      <c r="I153" s="26">
        <v>1264</v>
      </c>
      <c r="J153" s="26">
        <v>1382</v>
      </c>
      <c r="K153" s="26"/>
      <c r="L153" s="26"/>
      <c r="M153" s="26"/>
      <c r="N153" s="26"/>
      <c r="O153" s="26"/>
      <c r="P153" s="26"/>
      <c r="Q153" s="26"/>
      <c r="R153" s="18">
        <f t="shared" si="2"/>
        <v>5717</v>
      </c>
    </row>
    <row r="154" spans="1:18" s="2" customFormat="1" ht="20.100000000000001" customHeight="1">
      <c r="A154" s="10" t="s">
        <v>300</v>
      </c>
      <c r="B154" s="9" t="s">
        <v>307</v>
      </c>
      <c r="C154" s="10" t="s">
        <v>308</v>
      </c>
      <c r="D154" s="4">
        <v>17.260000000000002</v>
      </c>
      <c r="E154" s="29">
        <v>2011</v>
      </c>
      <c r="F154" s="26">
        <v>1360</v>
      </c>
      <c r="G154" s="26">
        <v>1252</v>
      </c>
      <c r="H154" s="26">
        <v>2359</v>
      </c>
      <c r="I154" s="26">
        <v>1423</v>
      </c>
      <c r="J154" s="26">
        <v>2076</v>
      </c>
      <c r="K154" s="26"/>
      <c r="L154" s="26"/>
      <c r="M154" s="26"/>
      <c r="N154" s="26"/>
      <c r="O154" s="26"/>
      <c r="P154" s="26"/>
      <c r="Q154" s="26"/>
      <c r="R154" s="18">
        <f t="shared" si="2"/>
        <v>8470</v>
      </c>
    </row>
    <row r="155" spans="1:18" s="2" customFormat="1" ht="20.100000000000001" customHeight="1">
      <c r="A155" s="10" t="s">
        <v>300</v>
      </c>
      <c r="B155" s="9" t="s">
        <v>309</v>
      </c>
      <c r="C155" s="10" t="s">
        <v>310</v>
      </c>
      <c r="D155" s="4">
        <v>16.73</v>
      </c>
      <c r="E155" s="29">
        <v>2011</v>
      </c>
      <c r="F155" s="26">
        <v>1616</v>
      </c>
      <c r="G155" s="26">
        <v>1318</v>
      </c>
      <c r="H155" s="26">
        <v>2377</v>
      </c>
      <c r="I155" s="26">
        <v>1500</v>
      </c>
      <c r="J155" s="26">
        <v>1971</v>
      </c>
      <c r="K155" s="26"/>
      <c r="L155" s="26"/>
      <c r="M155" s="26"/>
      <c r="N155" s="26"/>
      <c r="O155" s="26"/>
      <c r="P155" s="26"/>
      <c r="Q155" s="26"/>
      <c r="R155" s="18">
        <f t="shared" si="2"/>
        <v>8782</v>
      </c>
    </row>
    <row r="156" spans="1:18" s="2" customFormat="1" ht="20.100000000000001" customHeight="1">
      <c r="A156" s="10" t="s">
        <v>300</v>
      </c>
      <c r="B156" s="9" t="s">
        <v>311</v>
      </c>
      <c r="C156" s="10" t="s">
        <v>312</v>
      </c>
      <c r="D156" s="4">
        <v>28.13</v>
      </c>
      <c r="E156" s="29">
        <v>2011</v>
      </c>
      <c r="F156" s="26">
        <v>1654</v>
      </c>
      <c r="G156" s="26">
        <v>2412</v>
      </c>
      <c r="H156" s="26">
        <v>2918</v>
      </c>
      <c r="I156" s="26">
        <v>1699</v>
      </c>
      <c r="J156" s="26">
        <v>4036</v>
      </c>
      <c r="K156" s="26"/>
      <c r="L156" s="26"/>
      <c r="M156" s="26"/>
      <c r="N156" s="26"/>
      <c r="O156" s="26"/>
      <c r="P156" s="26"/>
      <c r="Q156" s="26"/>
      <c r="R156" s="18">
        <f t="shared" si="2"/>
        <v>12719</v>
      </c>
    </row>
    <row r="157" spans="1:18" s="2" customFormat="1" ht="20.100000000000001" customHeight="1">
      <c r="A157" s="10" t="s">
        <v>300</v>
      </c>
      <c r="B157" s="9" t="s">
        <v>313</v>
      </c>
      <c r="C157" s="10" t="s">
        <v>314</v>
      </c>
      <c r="D157" s="4">
        <v>16.25</v>
      </c>
      <c r="E157" s="29">
        <v>2011</v>
      </c>
      <c r="F157" s="26">
        <v>700</v>
      </c>
      <c r="G157" s="26">
        <v>1005</v>
      </c>
      <c r="H157" s="26">
        <v>1324</v>
      </c>
      <c r="I157" s="26">
        <v>957</v>
      </c>
      <c r="J157" s="26">
        <v>1746</v>
      </c>
      <c r="K157" s="26"/>
      <c r="L157" s="26"/>
      <c r="M157" s="26"/>
      <c r="N157" s="26"/>
      <c r="O157" s="26"/>
      <c r="P157" s="26"/>
      <c r="Q157" s="26"/>
      <c r="R157" s="18">
        <f t="shared" si="2"/>
        <v>5732</v>
      </c>
    </row>
    <row r="158" spans="1:18" s="2" customFormat="1" ht="20.100000000000001" customHeight="1">
      <c r="A158" s="10" t="s">
        <v>300</v>
      </c>
      <c r="B158" s="9" t="s">
        <v>315</v>
      </c>
      <c r="C158" s="10" t="s">
        <v>316</v>
      </c>
      <c r="D158" s="4">
        <v>24.52</v>
      </c>
      <c r="E158" s="29">
        <v>2011</v>
      </c>
      <c r="F158" s="26">
        <v>1466</v>
      </c>
      <c r="G158" s="26">
        <v>1747</v>
      </c>
      <c r="H158" s="26">
        <v>2386</v>
      </c>
      <c r="I158" s="26">
        <v>1242</v>
      </c>
      <c r="J158" s="26">
        <v>2602</v>
      </c>
      <c r="K158" s="26"/>
      <c r="L158" s="26"/>
      <c r="M158" s="26"/>
      <c r="N158" s="26"/>
      <c r="O158" s="26"/>
      <c r="P158" s="26"/>
      <c r="Q158" s="26"/>
      <c r="R158" s="18">
        <f t="shared" si="2"/>
        <v>9443</v>
      </c>
    </row>
    <row r="159" spans="1:18" s="2" customFormat="1" ht="20.100000000000001" customHeight="1">
      <c r="A159" s="10" t="s">
        <v>300</v>
      </c>
      <c r="B159" s="9" t="s">
        <v>317</v>
      </c>
      <c r="C159" s="10" t="s">
        <v>318</v>
      </c>
      <c r="D159" s="4">
        <v>32.75</v>
      </c>
      <c r="E159" s="29">
        <v>2011</v>
      </c>
      <c r="F159" s="26">
        <v>2298</v>
      </c>
      <c r="G159" s="26">
        <v>2354</v>
      </c>
      <c r="H159" s="26">
        <v>3125</v>
      </c>
      <c r="I159" s="26">
        <v>1771</v>
      </c>
      <c r="J159" s="26">
        <v>3277</v>
      </c>
      <c r="K159" s="26"/>
      <c r="L159" s="26"/>
      <c r="M159" s="26"/>
      <c r="N159" s="26"/>
      <c r="O159" s="26"/>
      <c r="P159" s="26"/>
      <c r="Q159" s="26"/>
      <c r="R159" s="18">
        <f t="shared" si="2"/>
        <v>12825</v>
      </c>
    </row>
    <row r="160" spans="1:18" s="2" customFormat="1" ht="20.100000000000001" customHeight="1">
      <c r="A160" s="10" t="s">
        <v>300</v>
      </c>
      <c r="B160" s="9" t="s">
        <v>319</v>
      </c>
      <c r="C160" s="10" t="s">
        <v>320</v>
      </c>
      <c r="D160" s="4">
        <v>2.27</v>
      </c>
      <c r="E160" s="29">
        <v>2011</v>
      </c>
      <c r="F160" s="26">
        <v>213</v>
      </c>
      <c r="G160" s="26">
        <v>209</v>
      </c>
      <c r="H160" s="26">
        <v>238</v>
      </c>
      <c r="I160" s="26">
        <v>180</v>
      </c>
      <c r="J160" s="26">
        <v>209</v>
      </c>
      <c r="K160" s="26"/>
      <c r="L160" s="26"/>
      <c r="M160" s="26"/>
      <c r="N160" s="26"/>
      <c r="O160" s="26"/>
      <c r="P160" s="26"/>
      <c r="Q160" s="26"/>
      <c r="R160" s="18">
        <f t="shared" si="2"/>
        <v>1049</v>
      </c>
    </row>
    <row r="161" spans="1:18" s="2" customFormat="1" ht="20.100000000000001" customHeight="1">
      <c r="A161" s="10" t="s">
        <v>300</v>
      </c>
      <c r="B161" s="9" t="s">
        <v>321</v>
      </c>
      <c r="C161" s="10" t="s">
        <v>322</v>
      </c>
      <c r="D161" s="4">
        <v>9.66</v>
      </c>
      <c r="E161" s="29">
        <v>2011</v>
      </c>
      <c r="F161" s="26">
        <v>1112</v>
      </c>
      <c r="G161" s="26">
        <v>1227</v>
      </c>
      <c r="H161" s="26">
        <v>1496</v>
      </c>
      <c r="I161" s="26">
        <v>964</v>
      </c>
      <c r="J161" s="26">
        <v>891</v>
      </c>
      <c r="K161" s="26"/>
      <c r="L161" s="26"/>
      <c r="M161" s="26"/>
      <c r="N161" s="26"/>
      <c r="O161" s="26"/>
      <c r="P161" s="26"/>
      <c r="Q161" s="26"/>
      <c r="R161" s="18">
        <f t="shared" si="2"/>
        <v>5690</v>
      </c>
    </row>
    <row r="162" spans="1:18" s="2" customFormat="1" ht="20.100000000000001" customHeight="1">
      <c r="A162" s="10" t="s">
        <v>300</v>
      </c>
      <c r="B162" s="9" t="s">
        <v>323</v>
      </c>
      <c r="C162" s="10" t="s">
        <v>324</v>
      </c>
      <c r="D162" s="4">
        <v>20.71</v>
      </c>
      <c r="E162" s="29">
        <v>2012</v>
      </c>
      <c r="F162" s="26">
        <v>1434</v>
      </c>
      <c r="G162" s="26">
        <v>1243</v>
      </c>
      <c r="H162" s="26">
        <v>2187</v>
      </c>
      <c r="I162" s="26">
        <v>1600</v>
      </c>
      <c r="J162" s="26">
        <v>1044</v>
      </c>
      <c r="K162" s="26"/>
      <c r="L162" s="26"/>
      <c r="M162" s="26"/>
      <c r="N162" s="26"/>
      <c r="O162" s="26"/>
      <c r="P162" s="26"/>
      <c r="Q162" s="26"/>
      <c r="R162" s="18">
        <f t="shared" si="2"/>
        <v>7508</v>
      </c>
    </row>
    <row r="163" spans="1:18" s="2" customFormat="1" ht="20.100000000000001" customHeight="1">
      <c r="A163" s="10" t="s">
        <v>300</v>
      </c>
      <c r="B163" s="9" t="s">
        <v>325</v>
      </c>
      <c r="C163" s="10" t="s">
        <v>326</v>
      </c>
      <c r="D163" s="4">
        <v>29.26</v>
      </c>
      <c r="E163" s="29">
        <v>2014</v>
      </c>
      <c r="F163" s="26">
        <v>2264</v>
      </c>
      <c r="G163" s="26">
        <v>1653</v>
      </c>
      <c r="H163" s="26">
        <v>2243</v>
      </c>
      <c r="I163" s="26">
        <v>1633</v>
      </c>
      <c r="J163" s="26">
        <v>1603</v>
      </c>
      <c r="K163" s="26"/>
      <c r="L163" s="26"/>
      <c r="M163" s="26"/>
      <c r="N163" s="26"/>
      <c r="O163" s="26"/>
      <c r="P163" s="26"/>
      <c r="Q163" s="26"/>
      <c r="R163" s="18">
        <f t="shared" si="2"/>
        <v>9396</v>
      </c>
    </row>
    <row r="164" spans="1:18" s="2" customFormat="1" ht="20.100000000000001" customHeight="1">
      <c r="A164" s="10" t="s">
        <v>300</v>
      </c>
      <c r="B164" s="9" t="s">
        <v>327</v>
      </c>
      <c r="C164" s="10" t="s">
        <v>328</v>
      </c>
      <c r="D164" s="4">
        <v>29.08</v>
      </c>
      <c r="E164" s="29">
        <v>2014</v>
      </c>
      <c r="F164" s="26">
        <v>1406</v>
      </c>
      <c r="G164" s="26">
        <v>996</v>
      </c>
      <c r="H164" s="26">
        <v>1559</v>
      </c>
      <c r="I164" s="26">
        <v>1214</v>
      </c>
      <c r="J164" s="26">
        <v>1251</v>
      </c>
      <c r="K164" s="26"/>
      <c r="L164" s="26"/>
      <c r="M164" s="26"/>
      <c r="N164" s="26"/>
      <c r="O164" s="26"/>
      <c r="P164" s="26"/>
      <c r="Q164" s="26"/>
      <c r="R164" s="18">
        <f t="shared" si="2"/>
        <v>6426</v>
      </c>
    </row>
    <row r="165" spans="1:18" s="2" customFormat="1" ht="20.100000000000001" customHeight="1">
      <c r="A165" s="10" t="s">
        <v>300</v>
      </c>
      <c r="B165" s="9" t="s">
        <v>329</v>
      </c>
      <c r="C165" s="10" t="s">
        <v>330</v>
      </c>
      <c r="D165" s="4">
        <v>27.31</v>
      </c>
      <c r="E165" s="29">
        <v>2014</v>
      </c>
      <c r="F165" s="26">
        <v>2128</v>
      </c>
      <c r="G165" s="26">
        <v>1579</v>
      </c>
      <c r="H165" s="26">
        <v>2231</v>
      </c>
      <c r="I165" s="26">
        <v>1628</v>
      </c>
      <c r="J165" s="26">
        <v>1286</v>
      </c>
      <c r="K165" s="26"/>
      <c r="L165" s="26"/>
      <c r="M165" s="26"/>
      <c r="N165" s="26"/>
      <c r="O165" s="26"/>
      <c r="P165" s="26"/>
      <c r="Q165" s="26"/>
      <c r="R165" s="18">
        <f t="shared" si="2"/>
        <v>8852</v>
      </c>
    </row>
    <row r="166" spans="1:18" s="2" customFormat="1" ht="20.100000000000001" customHeight="1">
      <c r="A166" s="4" t="s">
        <v>300</v>
      </c>
      <c r="B166" s="3" t="s">
        <v>331</v>
      </c>
      <c r="C166" s="4" t="s">
        <v>332</v>
      </c>
      <c r="D166" s="4">
        <v>29.78</v>
      </c>
      <c r="E166" s="28">
        <v>2014</v>
      </c>
      <c r="F166" s="26">
        <v>1595</v>
      </c>
      <c r="G166" s="26">
        <v>1440</v>
      </c>
      <c r="H166" s="26">
        <v>2004</v>
      </c>
      <c r="I166" s="26">
        <v>1750</v>
      </c>
      <c r="J166" s="26">
        <v>873</v>
      </c>
      <c r="K166" s="26"/>
      <c r="L166" s="26"/>
      <c r="M166" s="26"/>
      <c r="N166" s="26"/>
      <c r="O166" s="26"/>
      <c r="P166" s="26"/>
      <c r="Q166" s="26"/>
      <c r="R166" s="18">
        <f t="shared" si="2"/>
        <v>7662</v>
      </c>
    </row>
    <row r="167" spans="1:18" s="2" customFormat="1" ht="20.100000000000001" customHeight="1">
      <c r="A167" s="4" t="s">
        <v>300</v>
      </c>
      <c r="B167" s="3" t="s">
        <v>333</v>
      </c>
      <c r="C167" s="4" t="s">
        <v>334</v>
      </c>
      <c r="D167" s="4">
        <v>15.43</v>
      </c>
      <c r="E167" s="28">
        <v>2014</v>
      </c>
      <c r="F167" s="26">
        <v>638</v>
      </c>
      <c r="G167" s="26">
        <v>561</v>
      </c>
      <c r="H167" s="26">
        <v>801</v>
      </c>
      <c r="I167" s="26">
        <v>452</v>
      </c>
      <c r="J167" s="26">
        <v>247</v>
      </c>
      <c r="K167" s="26"/>
      <c r="L167" s="26"/>
      <c r="M167" s="26"/>
      <c r="N167" s="26"/>
      <c r="O167" s="26"/>
      <c r="P167" s="26"/>
      <c r="Q167" s="26"/>
      <c r="R167" s="18">
        <f t="shared" si="2"/>
        <v>2699</v>
      </c>
    </row>
    <row r="168" spans="1:18" s="2" customFormat="1" ht="20.100000000000001" customHeight="1">
      <c r="A168" s="4" t="s">
        <v>300</v>
      </c>
      <c r="B168" s="3" t="s">
        <v>335</v>
      </c>
      <c r="C168" s="4" t="s">
        <v>336</v>
      </c>
      <c r="D168" s="4">
        <v>13.9</v>
      </c>
      <c r="E168" s="28">
        <v>2011</v>
      </c>
      <c r="F168" s="26">
        <v>1508</v>
      </c>
      <c r="G168" s="26">
        <v>1129</v>
      </c>
      <c r="H168" s="26">
        <v>1903</v>
      </c>
      <c r="I168" s="26">
        <v>1260</v>
      </c>
      <c r="J168" s="26">
        <v>885</v>
      </c>
      <c r="K168" s="26"/>
      <c r="L168" s="26"/>
      <c r="M168" s="26"/>
      <c r="N168" s="26"/>
      <c r="O168" s="26"/>
      <c r="P168" s="26"/>
      <c r="Q168" s="26"/>
      <c r="R168" s="18">
        <f t="shared" si="2"/>
        <v>6685</v>
      </c>
    </row>
    <row r="169" spans="1:18" s="2" customFormat="1" ht="20.100000000000001" customHeight="1">
      <c r="A169" s="4" t="s">
        <v>300</v>
      </c>
      <c r="B169" s="3" t="s">
        <v>337</v>
      </c>
      <c r="C169" s="4" t="s">
        <v>338</v>
      </c>
      <c r="D169" s="4">
        <v>5.93</v>
      </c>
      <c r="E169" s="28">
        <v>2013</v>
      </c>
      <c r="F169" s="26">
        <v>564</v>
      </c>
      <c r="G169" s="26">
        <v>339</v>
      </c>
      <c r="H169" s="26">
        <v>312</v>
      </c>
      <c r="I169" s="26">
        <v>286</v>
      </c>
      <c r="J169" s="26">
        <v>223</v>
      </c>
      <c r="K169" s="26"/>
      <c r="L169" s="26"/>
      <c r="M169" s="26"/>
      <c r="N169" s="26"/>
      <c r="O169" s="26"/>
      <c r="P169" s="26"/>
      <c r="Q169" s="26"/>
      <c r="R169" s="18">
        <f t="shared" si="2"/>
        <v>1724</v>
      </c>
    </row>
    <row r="170" spans="1:18" s="2" customFormat="1" ht="20.100000000000001" customHeight="1">
      <c r="A170" s="4" t="s">
        <v>300</v>
      </c>
      <c r="B170" s="3" t="s">
        <v>339</v>
      </c>
      <c r="C170" s="4" t="s">
        <v>340</v>
      </c>
      <c r="D170" s="4">
        <v>28.48</v>
      </c>
      <c r="E170" s="28">
        <v>2011</v>
      </c>
      <c r="F170" s="26">
        <v>2286</v>
      </c>
      <c r="G170" s="26">
        <v>2800</v>
      </c>
      <c r="H170" s="26">
        <v>2807</v>
      </c>
      <c r="I170" s="26">
        <v>1645</v>
      </c>
      <c r="J170" s="26">
        <v>3381</v>
      </c>
      <c r="K170" s="26"/>
      <c r="L170" s="26"/>
      <c r="M170" s="26"/>
      <c r="N170" s="26"/>
      <c r="O170" s="26"/>
      <c r="P170" s="26"/>
      <c r="Q170" s="26"/>
      <c r="R170" s="18">
        <f t="shared" si="2"/>
        <v>12919</v>
      </c>
    </row>
    <row r="171" spans="1:18" s="2" customFormat="1" ht="20.100000000000001" customHeight="1">
      <c r="A171" s="4" t="s">
        <v>300</v>
      </c>
      <c r="B171" s="3" t="s">
        <v>341</v>
      </c>
      <c r="C171" s="4" t="s">
        <v>342</v>
      </c>
      <c r="D171" s="4">
        <v>26.61</v>
      </c>
      <c r="E171" s="28">
        <v>2011</v>
      </c>
      <c r="F171" s="26">
        <v>1855</v>
      </c>
      <c r="G171" s="26">
        <v>2015</v>
      </c>
      <c r="H171" s="26">
        <v>2073</v>
      </c>
      <c r="I171" s="26">
        <v>1153</v>
      </c>
      <c r="J171" s="26">
        <v>1945</v>
      </c>
      <c r="K171" s="26"/>
      <c r="L171" s="26"/>
      <c r="M171" s="26"/>
      <c r="N171" s="26"/>
      <c r="O171" s="26"/>
      <c r="P171" s="26"/>
      <c r="Q171" s="26"/>
      <c r="R171" s="18">
        <f t="shared" si="2"/>
        <v>9041</v>
      </c>
    </row>
    <row r="172" spans="1:18" s="2" customFormat="1" ht="20.100000000000001" customHeight="1">
      <c r="A172" s="4" t="s">
        <v>300</v>
      </c>
      <c r="B172" s="3" t="s">
        <v>343</v>
      </c>
      <c r="C172" s="4" t="s">
        <v>344</v>
      </c>
      <c r="D172" s="4">
        <v>33.06</v>
      </c>
      <c r="E172" s="28">
        <v>2013</v>
      </c>
      <c r="F172" s="26">
        <v>3043</v>
      </c>
      <c r="G172" s="26">
        <v>4069</v>
      </c>
      <c r="H172" s="26">
        <v>2962</v>
      </c>
      <c r="I172" s="26">
        <v>1900</v>
      </c>
      <c r="J172" s="26">
        <v>3426</v>
      </c>
      <c r="K172" s="26"/>
      <c r="L172" s="26"/>
      <c r="M172" s="26"/>
      <c r="N172" s="26"/>
      <c r="O172" s="26"/>
      <c r="P172" s="26"/>
      <c r="Q172" s="26"/>
      <c r="R172" s="18">
        <f t="shared" si="2"/>
        <v>15400</v>
      </c>
    </row>
    <row r="173" spans="1:18" s="2" customFormat="1" ht="20.100000000000001" customHeight="1">
      <c r="A173" s="4" t="s">
        <v>300</v>
      </c>
      <c r="B173" s="3" t="s">
        <v>345</v>
      </c>
      <c r="C173" s="4" t="s">
        <v>346</v>
      </c>
      <c r="D173" s="4">
        <v>18.16</v>
      </c>
      <c r="E173" s="28">
        <v>2011</v>
      </c>
      <c r="F173" s="26">
        <v>1010</v>
      </c>
      <c r="G173" s="26">
        <v>1436</v>
      </c>
      <c r="H173" s="26">
        <v>1054</v>
      </c>
      <c r="I173" s="26">
        <v>1019</v>
      </c>
      <c r="J173" s="26">
        <v>1896</v>
      </c>
      <c r="K173" s="26"/>
      <c r="L173" s="26"/>
      <c r="M173" s="26"/>
      <c r="N173" s="26"/>
      <c r="O173" s="26"/>
      <c r="P173" s="26"/>
      <c r="Q173" s="26"/>
      <c r="R173" s="18">
        <f t="shared" si="2"/>
        <v>6415</v>
      </c>
    </row>
    <row r="174" spans="1:18" s="2" customFormat="1" ht="20.100000000000001" customHeight="1">
      <c r="A174" s="4" t="s">
        <v>300</v>
      </c>
      <c r="B174" s="3" t="s">
        <v>347</v>
      </c>
      <c r="C174" s="4" t="s">
        <v>348</v>
      </c>
      <c r="D174" s="4">
        <v>16.239999999999998</v>
      </c>
      <c r="E174" s="28">
        <v>2011</v>
      </c>
      <c r="F174" s="26">
        <v>1096</v>
      </c>
      <c r="G174" s="26">
        <v>1581</v>
      </c>
      <c r="H174" s="26">
        <v>1329</v>
      </c>
      <c r="I174" s="26">
        <v>779</v>
      </c>
      <c r="J174" s="26">
        <v>1354</v>
      </c>
      <c r="K174" s="26"/>
      <c r="L174" s="26"/>
      <c r="M174" s="26"/>
      <c r="N174" s="26"/>
      <c r="O174" s="26"/>
      <c r="P174" s="26"/>
      <c r="Q174" s="26"/>
      <c r="R174" s="18">
        <f t="shared" si="2"/>
        <v>6139</v>
      </c>
    </row>
    <row r="175" spans="1:18" s="2" customFormat="1" ht="20.100000000000001" customHeight="1">
      <c r="A175" s="4" t="s">
        <v>300</v>
      </c>
      <c r="B175" s="3" t="s">
        <v>349</v>
      </c>
      <c r="C175" s="4" t="s">
        <v>350</v>
      </c>
      <c r="D175" s="4">
        <v>5.28</v>
      </c>
      <c r="E175" s="28">
        <v>2013</v>
      </c>
      <c r="F175" s="26">
        <v>469</v>
      </c>
      <c r="G175" s="26">
        <v>528</v>
      </c>
      <c r="H175" s="26">
        <v>449</v>
      </c>
      <c r="I175" s="26">
        <v>420</v>
      </c>
      <c r="J175" s="26">
        <v>687</v>
      </c>
      <c r="K175" s="26"/>
      <c r="L175" s="26"/>
      <c r="M175" s="26"/>
      <c r="N175" s="26"/>
      <c r="O175" s="26"/>
      <c r="P175" s="26"/>
      <c r="Q175" s="26"/>
      <c r="R175" s="18">
        <f t="shared" si="2"/>
        <v>2553</v>
      </c>
    </row>
    <row r="176" spans="1:18" s="2" customFormat="1" ht="20.100000000000001" customHeight="1">
      <c r="A176" s="4" t="s">
        <v>300</v>
      </c>
      <c r="B176" s="3" t="s">
        <v>351</v>
      </c>
      <c r="C176" s="4" t="s">
        <v>352</v>
      </c>
      <c r="D176" s="4">
        <v>13.9</v>
      </c>
      <c r="E176" s="28">
        <v>2011</v>
      </c>
      <c r="F176" s="26">
        <v>1151</v>
      </c>
      <c r="G176" s="26">
        <v>1024</v>
      </c>
      <c r="H176" s="26">
        <v>1961</v>
      </c>
      <c r="I176" s="26">
        <v>1496</v>
      </c>
      <c r="J176" s="26">
        <v>1776</v>
      </c>
      <c r="K176" s="26"/>
      <c r="L176" s="26"/>
      <c r="M176" s="26"/>
      <c r="N176" s="26"/>
      <c r="O176" s="26"/>
      <c r="P176" s="26"/>
      <c r="Q176" s="26"/>
      <c r="R176" s="18">
        <f t="shared" si="2"/>
        <v>7408</v>
      </c>
    </row>
    <row r="177" spans="1:18" s="2" customFormat="1" ht="20.100000000000001" customHeight="1">
      <c r="A177" s="4" t="s">
        <v>300</v>
      </c>
      <c r="B177" s="3" t="s">
        <v>353</v>
      </c>
      <c r="C177" s="4" t="s">
        <v>354</v>
      </c>
      <c r="D177" s="4">
        <v>9.17</v>
      </c>
      <c r="E177" s="29">
        <v>2011</v>
      </c>
      <c r="F177" s="26">
        <v>814</v>
      </c>
      <c r="G177" s="26">
        <v>656</v>
      </c>
      <c r="H177" s="26">
        <v>1579</v>
      </c>
      <c r="I177" s="26">
        <v>542</v>
      </c>
      <c r="J177" s="26">
        <v>892</v>
      </c>
      <c r="K177" s="26"/>
      <c r="L177" s="26"/>
      <c r="M177" s="26"/>
      <c r="N177" s="26"/>
      <c r="O177" s="26"/>
      <c r="P177" s="26"/>
      <c r="Q177" s="26"/>
      <c r="R177" s="18">
        <f t="shared" si="2"/>
        <v>4483</v>
      </c>
    </row>
    <row r="178" spans="1:18" s="2" customFormat="1" ht="20.100000000000001" customHeight="1">
      <c r="A178" s="4" t="s">
        <v>300</v>
      </c>
      <c r="B178" s="3" t="s">
        <v>355</v>
      </c>
      <c r="C178" s="4" t="s">
        <v>356</v>
      </c>
      <c r="D178" s="4">
        <v>21.74</v>
      </c>
      <c r="E178" s="28">
        <v>2013</v>
      </c>
      <c r="F178" s="26">
        <v>1419</v>
      </c>
      <c r="G178" s="26">
        <v>1964</v>
      </c>
      <c r="H178" s="26">
        <v>1925</v>
      </c>
      <c r="I178" s="26">
        <v>1433</v>
      </c>
      <c r="J178" s="26">
        <v>2837</v>
      </c>
      <c r="K178" s="26"/>
      <c r="L178" s="26"/>
      <c r="M178" s="26"/>
      <c r="N178" s="26"/>
      <c r="O178" s="26"/>
      <c r="P178" s="26"/>
      <c r="Q178" s="26"/>
      <c r="R178" s="18">
        <f t="shared" si="2"/>
        <v>9578</v>
      </c>
    </row>
    <row r="179" spans="1:18" s="2" customFormat="1" ht="20.100000000000001" customHeight="1">
      <c r="A179" s="4" t="s">
        <v>300</v>
      </c>
      <c r="B179" s="3" t="s">
        <v>357</v>
      </c>
      <c r="C179" s="4" t="s">
        <v>358</v>
      </c>
      <c r="D179" s="4">
        <v>15.830000000000002</v>
      </c>
      <c r="E179" s="29">
        <v>2014</v>
      </c>
      <c r="F179" s="26">
        <v>161</v>
      </c>
      <c r="G179" s="26">
        <v>121</v>
      </c>
      <c r="H179" s="26">
        <v>138</v>
      </c>
      <c r="I179" s="26">
        <v>57</v>
      </c>
      <c r="J179" s="26">
        <v>140</v>
      </c>
      <c r="K179" s="26"/>
      <c r="L179" s="26"/>
      <c r="M179" s="26"/>
      <c r="N179" s="26"/>
      <c r="O179" s="26"/>
      <c r="P179" s="26"/>
      <c r="Q179" s="26"/>
      <c r="R179" s="18">
        <f t="shared" si="2"/>
        <v>617</v>
      </c>
    </row>
    <row r="180" spans="1:18" s="2" customFormat="1" ht="20.100000000000001" customHeight="1">
      <c r="A180" s="4" t="s">
        <v>300</v>
      </c>
      <c r="B180" s="3" t="s">
        <v>359</v>
      </c>
      <c r="C180" s="4" t="s">
        <v>360</v>
      </c>
      <c r="D180" s="4">
        <v>18.260000000000002</v>
      </c>
      <c r="E180" s="29">
        <v>2013</v>
      </c>
      <c r="F180" s="26">
        <v>1437</v>
      </c>
      <c r="G180" s="26">
        <v>1182</v>
      </c>
      <c r="H180" s="26">
        <v>2246</v>
      </c>
      <c r="I180" s="26">
        <v>1156</v>
      </c>
      <c r="J180" s="26">
        <v>1561</v>
      </c>
      <c r="K180" s="26"/>
      <c r="L180" s="26"/>
      <c r="M180" s="26"/>
      <c r="N180" s="26"/>
      <c r="O180" s="26"/>
      <c r="P180" s="26"/>
      <c r="Q180" s="26"/>
      <c r="R180" s="18">
        <f t="shared" si="2"/>
        <v>7582</v>
      </c>
    </row>
    <row r="181" spans="1:18" s="2" customFormat="1" ht="20.100000000000001" customHeight="1">
      <c r="A181" s="4" t="s">
        <v>300</v>
      </c>
      <c r="B181" s="3" t="s">
        <v>361</v>
      </c>
      <c r="C181" s="4" t="s">
        <v>362</v>
      </c>
      <c r="D181" s="4">
        <v>20.350000000000001</v>
      </c>
      <c r="E181" s="29">
        <v>2013</v>
      </c>
      <c r="F181" s="26">
        <v>1070</v>
      </c>
      <c r="G181" s="26">
        <v>1693</v>
      </c>
      <c r="H181" s="26">
        <v>927</v>
      </c>
      <c r="I181" s="26">
        <v>833</v>
      </c>
      <c r="J181" s="26">
        <v>2092</v>
      </c>
      <c r="K181" s="26"/>
      <c r="L181" s="26"/>
      <c r="M181" s="26"/>
      <c r="N181" s="26"/>
      <c r="O181" s="26"/>
      <c r="P181" s="26"/>
      <c r="Q181" s="26"/>
      <c r="R181" s="18">
        <f t="shared" si="2"/>
        <v>6615</v>
      </c>
    </row>
    <row r="182" spans="1:18" s="2" customFormat="1" ht="20.100000000000001" customHeight="1">
      <c r="A182" s="4" t="s">
        <v>300</v>
      </c>
      <c r="B182" s="3" t="s">
        <v>363</v>
      </c>
      <c r="C182" s="4" t="s">
        <v>364</v>
      </c>
      <c r="D182" s="4">
        <v>19.12</v>
      </c>
      <c r="E182" s="29">
        <v>2013</v>
      </c>
      <c r="F182" s="26">
        <v>1300</v>
      </c>
      <c r="G182" s="26">
        <v>2229</v>
      </c>
      <c r="H182" s="26">
        <v>1417</v>
      </c>
      <c r="I182" s="26">
        <v>1353</v>
      </c>
      <c r="J182" s="26">
        <v>1756</v>
      </c>
      <c r="K182" s="26"/>
      <c r="L182" s="26"/>
      <c r="M182" s="26"/>
      <c r="N182" s="26"/>
      <c r="O182" s="26"/>
      <c r="P182" s="26"/>
      <c r="Q182" s="26"/>
      <c r="R182" s="18">
        <f t="shared" si="2"/>
        <v>8055</v>
      </c>
    </row>
    <row r="183" spans="1:18" s="2" customFormat="1" ht="20.100000000000001" customHeight="1">
      <c r="A183" s="4" t="s">
        <v>300</v>
      </c>
      <c r="B183" s="3" t="s">
        <v>365</v>
      </c>
      <c r="C183" s="4" t="s">
        <v>366</v>
      </c>
      <c r="D183" s="4">
        <v>22.37</v>
      </c>
      <c r="E183" s="29">
        <v>2013</v>
      </c>
      <c r="F183" s="26">
        <v>1560</v>
      </c>
      <c r="G183" s="26">
        <v>2174</v>
      </c>
      <c r="H183" s="26">
        <v>1586</v>
      </c>
      <c r="I183" s="26">
        <v>1501</v>
      </c>
      <c r="J183" s="26">
        <v>1811</v>
      </c>
      <c r="K183" s="26"/>
      <c r="L183" s="26"/>
      <c r="M183" s="26"/>
      <c r="N183" s="26"/>
      <c r="O183" s="26"/>
      <c r="P183" s="26"/>
      <c r="Q183" s="26"/>
      <c r="R183" s="18">
        <f t="shared" si="2"/>
        <v>8632</v>
      </c>
    </row>
    <row r="184" spans="1:18" s="2" customFormat="1" ht="20.100000000000001" customHeight="1">
      <c r="A184" s="4" t="s">
        <v>300</v>
      </c>
      <c r="B184" s="3" t="s">
        <v>367</v>
      </c>
      <c r="C184" s="4" t="s">
        <v>368</v>
      </c>
      <c r="D184" s="4">
        <v>20.079999999999998</v>
      </c>
      <c r="E184" s="29">
        <v>2014</v>
      </c>
      <c r="F184" s="26">
        <v>1972</v>
      </c>
      <c r="G184" s="26">
        <v>2036</v>
      </c>
      <c r="H184" s="26">
        <v>1331</v>
      </c>
      <c r="I184" s="26">
        <v>1100</v>
      </c>
      <c r="J184" s="26">
        <v>1906</v>
      </c>
      <c r="K184" s="26"/>
      <c r="L184" s="26"/>
      <c r="M184" s="26"/>
      <c r="N184" s="26"/>
      <c r="O184" s="26"/>
      <c r="P184" s="26"/>
      <c r="Q184" s="26"/>
      <c r="R184" s="18">
        <f t="shared" si="2"/>
        <v>8345</v>
      </c>
    </row>
    <row r="185" spans="1:18" s="2" customFormat="1" ht="20.100000000000001" customHeight="1">
      <c r="A185" s="4" t="s">
        <v>300</v>
      </c>
      <c r="B185" s="3" t="s">
        <v>369</v>
      </c>
      <c r="C185" s="4" t="s">
        <v>370</v>
      </c>
      <c r="D185" s="4">
        <v>4.28</v>
      </c>
      <c r="E185" s="29">
        <v>2014</v>
      </c>
      <c r="F185" s="26">
        <v>274</v>
      </c>
      <c r="G185" s="26">
        <v>373</v>
      </c>
      <c r="H185" s="26">
        <v>172</v>
      </c>
      <c r="I185" s="26">
        <v>130</v>
      </c>
      <c r="J185" s="26">
        <v>365</v>
      </c>
      <c r="K185" s="26"/>
      <c r="L185" s="26"/>
      <c r="M185" s="26"/>
      <c r="N185" s="26"/>
      <c r="O185" s="26"/>
      <c r="P185" s="26"/>
      <c r="Q185" s="26"/>
      <c r="R185" s="18">
        <f t="shared" si="2"/>
        <v>1314</v>
      </c>
    </row>
    <row r="186" spans="1:18" s="2" customFormat="1" ht="20.100000000000001" customHeight="1">
      <c r="A186" s="4" t="s">
        <v>300</v>
      </c>
      <c r="B186" s="3" t="s">
        <v>371</v>
      </c>
      <c r="C186" s="4" t="s">
        <v>372</v>
      </c>
      <c r="D186" s="4">
        <v>3.62</v>
      </c>
      <c r="E186" s="29">
        <v>2014</v>
      </c>
      <c r="F186" s="26">
        <v>318</v>
      </c>
      <c r="G186" s="26">
        <v>354</v>
      </c>
      <c r="H186" s="26">
        <v>261</v>
      </c>
      <c r="I186" s="26">
        <v>283</v>
      </c>
      <c r="J186" s="26">
        <v>262</v>
      </c>
      <c r="K186" s="26"/>
      <c r="L186" s="26"/>
      <c r="M186" s="26"/>
      <c r="N186" s="26"/>
      <c r="O186" s="26"/>
      <c r="P186" s="26"/>
      <c r="Q186" s="26"/>
      <c r="R186" s="18">
        <f t="shared" si="2"/>
        <v>1478</v>
      </c>
    </row>
    <row r="187" spans="1:18" s="2" customFormat="1" ht="20.100000000000001" customHeight="1">
      <c r="A187" s="4" t="s">
        <v>300</v>
      </c>
      <c r="B187" s="3" t="s">
        <v>373</v>
      </c>
      <c r="C187" s="4" t="s">
        <v>374</v>
      </c>
      <c r="D187" s="4">
        <v>7.23</v>
      </c>
      <c r="E187" s="29">
        <v>2014</v>
      </c>
      <c r="F187" s="26">
        <v>668</v>
      </c>
      <c r="G187" s="26">
        <v>660</v>
      </c>
      <c r="H187" s="26">
        <v>496</v>
      </c>
      <c r="I187" s="26">
        <v>476</v>
      </c>
      <c r="J187" s="26">
        <v>788</v>
      </c>
      <c r="K187" s="26"/>
      <c r="L187" s="26"/>
      <c r="M187" s="26"/>
      <c r="N187" s="26"/>
      <c r="O187" s="26"/>
      <c r="P187" s="26"/>
      <c r="Q187" s="26"/>
      <c r="R187" s="18">
        <f t="shared" si="2"/>
        <v>3088</v>
      </c>
    </row>
    <row r="188" spans="1:18" s="2" customFormat="1" ht="20.100000000000001" customHeight="1">
      <c r="A188" s="4" t="s">
        <v>300</v>
      </c>
      <c r="B188" s="3" t="s">
        <v>375</v>
      </c>
      <c r="C188" s="4" t="s">
        <v>376</v>
      </c>
      <c r="D188" s="4">
        <v>10.28</v>
      </c>
      <c r="E188" s="29">
        <v>2014</v>
      </c>
      <c r="F188" s="26">
        <v>798</v>
      </c>
      <c r="G188" s="26">
        <v>1119</v>
      </c>
      <c r="H188" s="26">
        <v>644</v>
      </c>
      <c r="I188" s="26">
        <v>860</v>
      </c>
      <c r="J188" s="26">
        <v>1261</v>
      </c>
      <c r="K188" s="26"/>
      <c r="L188" s="26"/>
      <c r="M188" s="26"/>
      <c r="N188" s="26"/>
      <c r="O188" s="26"/>
      <c r="P188" s="26"/>
      <c r="Q188" s="26"/>
      <c r="R188" s="18">
        <f t="shared" si="2"/>
        <v>4682</v>
      </c>
    </row>
    <row r="189" spans="1:18" s="2" customFormat="1" ht="20.100000000000001" customHeight="1">
      <c r="A189" s="4" t="s">
        <v>300</v>
      </c>
      <c r="B189" s="3" t="s">
        <v>377</v>
      </c>
      <c r="C189" s="4" t="s">
        <v>378</v>
      </c>
      <c r="D189" s="4">
        <v>12.5</v>
      </c>
      <c r="E189" s="29">
        <v>2014</v>
      </c>
      <c r="F189" s="26">
        <v>963</v>
      </c>
      <c r="G189" s="26">
        <v>1044</v>
      </c>
      <c r="H189" s="26">
        <v>714</v>
      </c>
      <c r="I189" s="26">
        <v>719</v>
      </c>
      <c r="J189" s="26">
        <v>760</v>
      </c>
      <c r="K189" s="26"/>
      <c r="L189" s="26"/>
      <c r="M189" s="26"/>
      <c r="N189" s="26"/>
      <c r="O189" s="26"/>
      <c r="P189" s="26"/>
      <c r="Q189" s="26"/>
      <c r="R189" s="18">
        <f t="shared" si="2"/>
        <v>4200</v>
      </c>
    </row>
    <row r="190" spans="1:18" s="2" customFormat="1" ht="20.100000000000001" customHeight="1">
      <c r="A190" s="4" t="s">
        <v>300</v>
      </c>
      <c r="B190" s="3" t="s">
        <v>379</v>
      </c>
      <c r="C190" s="4" t="s">
        <v>380</v>
      </c>
      <c r="D190" s="4">
        <v>18.78</v>
      </c>
      <c r="E190" s="29">
        <v>2014</v>
      </c>
      <c r="F190" s="26">
        <v>1252</v>
      </c>
      <c r="G190" s="26">
        <v>1767</v>
      </c>
      <c r="H190" s="26">
        <v>1223</v>
      </c>
      <c r="I190" s="26">
        <v>1355</v>
      </c>
      <c r="J190" s="26">
        <v>1250</v>
      </c>
      <c r="K190" s="26"/>
      <c r="L190" s="26"/>
      <c r="M190" s="26"/>
      <c r="N190" s="26"/>
      <c r="O190" s="26"/>
      <c r="P190" s="26"/>
      <c r="Q190" s="26"/>
      <c r="R190" s="18">
        <f t="shared" si="2"/>
        <v>6847</v>
      </c>
    </row>
    <row r="191" spans="1:18" s="2" customFormat="1" ht="20.100000000000001" customHeight="1">
      <c r="A191" s="4" t="s">
        <v>300</v>
      </c>
      <c r="B191" s="3" t="s">
        <v>381</v>
      </c>
      <c r="C191" s="4" t="s">
        <v>382</v>
      </c>
      <c r="D191" s="4">
        <v>18.8</v>
      </c>
      <c r="E191" s="29">
        <v>2014</v>
      </c>
      <c r="F191" s="26">
        <v>745</v>
      </c>
      <c r="G191" s="26">
        <v>1114</v>
      </c>
      <c r="H191" s="26">
        <v>720</v>
      </c>
      <c r="I191" s="26">
        <v>977</v>
      </c>
      <c r="J191" s="26">
        <v>1372</v>
      </c>
      <c r="K191" s="26"/>
      <c r="L191" s="26"/>
      <c r="M191" s="26"/>
      <c r="N191" s="26"/>
      <c r="O191" s="26"/>
      <c r="P191" s="26"/>
      <c r="Q191" s="26"/>
      <c r="R191" s="18">
        <f t="shared" si="2"/>
        <v>4928</v>
      </c>
    </row>
    <row r="192" spans="1:18" s="2" customFormat="1" ht="20.100000000000001" customHeight="1">
      <c r="A192" s="4" t="s">
        <v>300</v>
      </c>
      <c r="B192" s="3">
        <v>394</v>
      </c>
      <c r="C192" s="4" t="s">
        <v>383</v>
      </c>
      <c r="D192" s="4">
        <v>30.1</v>
      </c>
      <c r="E192" s="29">
        <v>2014</v>
      </c>
      <c r="F192" s="26">
        <v>2183</v>
      </c>
      <c r="G192" s="26">
        <v>2535</v>
      </c>
      <c r="H192" s="26">
        <v>2104</v>
      </c>
      <c r="I192" s="26">
        <v>1532</v>
      </c>
      <c r="J192" s="26">
        <v>2013</v>
      </c>
      <c r="K192" s="26"/>
      <c r="L192" s="26"/>
      <c r="M192" s="26"/>
      <c r="N192" s="26"/>
      <c r="O192" s="26"/>
      <c r="P192" s="26"/>
      <c r="Q192" s="26"/>
      <c r="R192" s="18">
        <f t="shared" si="2"/>
        <v>10367</v>
      </c>
    </row>
    <row r="193" spans="1:18" s="2" customFormat="1" ht="20.100000000000001" customHeight="1">
      <c r="A193" s="4" t="s">
        <v>300</v>
      </c>
      <c r="B193" s="3">
        <v>240</v>
      </c>
      <c r="C193" s="4" t="s">
        <v>384</v>
      </c>
      <c r="D193" s="4">
        <v>3.72</v>
      </c>
      <c r="E193" s="29">
        <v>2015</v>
      </c>
      <c r="F193" s="26">
        <v>275</v>
      </c>
      <c r="G193" s="26">
        <v>270</v>
      </c>
      <c r="H193" s="26">
        <v>130</v>
      </c>
      <c r="I193" s="26">
        <v>214</v>
      </c>
      <c r="J193" s="26">
        <v>167</v>
      </c>
      <c r="K193" s="26"/>
      <c r="L193" s="26"/>
      <c r="M193" s="26"/>
      <c r="N193" s="26"/>
      <c r="O193" s="26"/>
      <c r="P193" s="26"/>
      <c r="Q193" s="26"/>
      <c r="R193" s="18">
        <f t="shared" si="2"/>
        <v>1056</v>
      </c>
    </row>
    <row r="194" spans="1:18" s="2" customFormat="1" ht="15">
      <c r="A194" s="4" t="s">
        <v>385</v>
      </c>
      <c r="B194" s="3" t="s">
        <v>386</v>
      </c>
      <c r="C194" s="4" t="s">
        <v>387</v>
      </c>
      <c r="D194" s="4">
        <v>17.84</v>
      </c>
      <c r="E194" s="29">
        <v>2014</v>
      </c>
      <c r="F194" s="26">
        <v>1072</v>
      </c>
      <c r="G194" s="26">
        <v>848</v>
      </c>
      <c r="H194" s="26">
        <v>900</v>
      </c>
      <c r="I194" s="26">
        <v>507</v>
      </c>
      <c r="J194" s="26">
        <v>893</v>
      </c>
      <c r="K194" s="26"/>
      <c r="L194" s="26"/>
      <c r="M194" s="26"/>
      <c r="N194" s="26"/>
      <c r="O194" s="26"/>
      <c r="P194" s="26"/>
      <c r="Q194" s="26"/>
      <c r="R194" s="18">
        <f t="shared" si="2"/>
        <v>4220</v>
      </c>
    </row>
    <row r="195" spans="1:18" s="2" customFormat="1" ht="15">
      <c r="A195" s="4" t="s">
        <v>385</v>
      </c>
      <c r="B195" s="3" t="s">
        <v>388</v>
      </c>
      <c r="C195" s="4" t="s">
        <v>389</v>
      </c>
      <c r="D195" s="4">
        <v>18.760000000000002</v>
      </c>
      <c r="E195" s="29">
        <v>2014</v>
      </c>
      <c r="F195" s="26">
        <v>1479</v>
      </c>
      <c r="G195" s="26">
        <v>1403</v>
      </c>
      <c r="H195" s="26">
        <v>1781</v>
      </c>
      <c r="I195" s="26">
        <v>1489</v>
      </c>
      <c r="J195" s="26">
        <v>1532</v>
      </c>
      <c r="K195" s="26"/>
      <c r="L195" s="26"/>
      <c r="M195" s="26"/>
      <c r="N195" s="26"/>
      <c r="O195" s="26"/>
      <c r="P195" s="26"/>
      <c r="Q195" s="26"/>
      <c r="R195" s="18">
        <f t="shared" ref="R195:R258" si="3">SUM(F195:Q195)</f>
        <v>7684</v>
      </c>
    </row>
    <row r="196" spans="1:18" s="2" customFormat="1" ht="15">
      <c r="A196" s="4" t="s">
        <v>385</v>
      </c>
      <c r="B196" s="3" t="s">
        <v>390</v>
      </c>
      <c r="C196" s="4" t="s">
        <v>391</v>
      </c>
      <c r="D196" s="4">
        <v>19.850000000000001</v>
      </c>
      <c r="E196" s="29">
        <v>2014</v>
      </c>
      <c r="F196" s="26">
        <v>725</v>
      </c>
      <c r="G196" s="26">
        <v>478</v>
      </c>
      <c r="H196" s="26">
        <v>657</v>
      </c>
      <c r="I196" s="26">
        <v>535</v>
      </c>
      <c r="J196" s="26">
        <v>932</v>
      </c>
      <c r="K196" s="26"/>
      <c r="L196" s="26"/>
      <c r="M196" s="26"/>
      <c r="N196" s="26"/>
      <c r="O196" s="26"/>
      <c r="P196" s="26"/>
      <c r="Q196" s="26"/>
      <c r="R196" s="18">
        <f t="shared" si="3"/>
        <v>3327</v>
      </c>
    </row>
    <row r="197" spans="1:18" s="2" customFormat="1" ht="15">
      <c r="A197" s="4" t="s">
        <v>385</v>
      </c>
      <c r="B197" s="3" t="s">
        <v>392</v>
      </c>
      <c r="C197" s="4" t="s">
        <v>393</v>
      </c>
      <c r="D197" s="4">
        <v>18.52</v>
      </c>
      <c r="E197" s="29">
        <v>2014</v>
      </c>
      <c r="F197" s="26">
        <v>957</v>
      </c>
      <c r="G197" s="26">
        <v>1748</v>
      </c>
      <c r="H197" s="26">
        <v>1312</v>
      </c>
      <c r="I197" s="26">
        <v>1319</v>
      </c>
      <c r="J197" s="26">
        <v>1804</v>
      </c>
      <c r="K197" s="26"/>
      <c r="L197" s="26"/>
      <c r="M197" s="26"/>
      <c r="N197" s="26"/>
      <c r="O197" s="26"/>
      <c r="P197" s="26"/>
      <c r="Q197" s="26"/>
      <c r="R197" s="18">
        <f t="shared" si="3"/>
        <v>7140</v>
      </c>
    </row>
    <row r="198" spans="1:18" s="2" customFormat="1" ht="15">
      <c r="A198" s="4" t="s">
        <v>385</v>
      </c>
      <c r="B198" s="3" t="s">
        <v>394</v>
      </c>
      <c r="C198" s="4" t="s">
        <v>395</v>
      </c>
      <c r="D198" s="4">
        <v>22.97</v>
      </c>
      <c r="E198" s="29">
        <v>2014</v>
      </c>
      <c r="F198" s="26">
        <v>2121</v>
      </c>
      <c r="G198" s="26">
        <v>2132</v>
      </c>
      <c r="H198" s="26">
        <v>1533</v>
      </c>
      <c r="I198" s="26">
        <v>1470</v>
      </c>
      <c r="J198" s="26">
        <v>1605</v>
      </c>
      <c r="K198" s="26"/>
      <c r="L198" s="26"/>
      <c r="M198" s="26"/>
      <c r="N198" s="26"/>
      <c r="O198" s="26"/>
      <c r="P198" s="26"/>
      <c r="Q198" s="26"/>
      <c r="R198" s="18">
        <f t="shared" si="3"/>
        <v>8861</v>
      </c>
    </row>
    <row r="199" spans="1:18" s="2" customFormat="1" ht="15">
      <c r="A199" s="4" t="s">
        <v>385</v>
      </c>
      <c r="B199" s="3" t="s">
        <v>396</v>
      </c>
      <c r="C199" s="4" t="s">
        <v>397</v>
      </c>
      <c r="D199" s="4">
        <v>14.4</v>
      </c>
      <c r="E199" s="29">
        <v>2015</v>
      </c>
      <c r="F199" s="26">
        <v>1132</v>
      </c>
      <c r="G199" s="26">
        <v>992</v>
      </c>
      <c r="H199" s="26">
        <v>729</v>
      </c>
      <c r="I199" s="26">
        <v>583</v>
      </c>
      <c r="J199" s="26">
        <v>758</v>
      </c>
      <c r="K199" s="26"/>
      <c r="L199" s="26"/>
      <c r="M199" s="26"/>
      <c r="N199" s="26"/>
      <c r="O199" s="26"/>
      <c r="P199" s="26"/>
      <c r="Q199" s="26"/>
      <c r="R199" s="18">
        <f t="shared" si="3"/>
        <v>4194</v>
      </c>
    </row>
    <row r="200" spans="1:18" s="2" customFormat="1" ht="15">
      <c r="A200" s="4" t="s">
        <v>385</v>
      </c>
      <c r="B200" s="3" t="s">
        <v>398</v>
      </c>
      <c r="C200" s="4" t="s">
        <v>399</v>
      </c>
      <c r="D200" s="4">
        <v>9.32</v>
      </c>
      <c r="E200" s="29">
        <v>2014</v>
      </c>
      <c r="F200" s="26">
        <v>1019</v>
      </c>
      <c r="G200" s="26">
        <v>782</v>
      </c>
      <c r="H200" s="26">
        <v>692</v>
      </c>
      <c r="I200" s="26">
        <v>501</v>
      </c>
      <c r="J200" s="26">
        <v>591</v>
      </c>
      <c r="K200" s="26"/>
      <c r="L200" s="26"/>
      <c r="M200" s="26"/>
      <c r="N200" s="26"/>
      <c r="O200" s="26"/>
      <c r="P200" s="26"/>
      <c r="Q200" s="26"/>
      <c r="R200" s="18">
        <f t="shared" si="3"/>
        <v>3585</v>
      </c>
    </row>
    <row r="201" spans="1:18" s="2" customFormat="1" ht="15">
      <c r="A201" s="4" t="s">
        <v>385</v>
      </c>
      <c r="B201" s="3" t="s">
        <v>400</v>
      </c>
      <c r="C201" s="4" t="s">
        <v>401</v>
      </c>
      <c r="D201" s="4">
        <v>13.92</v>
      </c>
      <c r="E201" s="29">
        <v>2014</v>
      </c>
      <c r="F201" s="26">
        <v>1264</v>
      </c>
      <c r="G201" s="26">
        <v>889</v>
      </c>
      <c r="H201" s="26">
        <v>578</v>
      </c>
      <c r="I201" s="26">
        <v>575</v>
      </c>
      <c r="J201" s="26">
        <v>449</v>
      </c>
      <c r="K201" s="26"/>
      <c r="L201" s="26"/>
      <c r="M201" s="26"/>
      <c r="N201" s="26"/>
      <c r="O201" s="26"/>
      <c r="P201" s="26"/>
      <c r="Q201" s="26"/>
      <c r="R201" s="18">
        <f t="shared" si="3"/>
        <v>3755</v>
      </c>
    </row>
    <row r="202" spans="1:18" s="2" customFormat="1" ht="15">
      <c r="A202" s="4" t="s">
        <v>385</v>
      </c>
      <c r="B202" s="3" t="s">
        <v>402</v>
      </c>
      <c r="C202" s="4" t="s">
        <v>403</v>
      </c>
      <c r="D202" s="4">
        <v>17.11</v>
      </c>
      <c r="E202" s="29">
        <v>2014</v>
      </c>
      <c r="F202" s="26">
        <v>1547</v>
      </c>
      <c r="G202" s="26">
        <v>1097</v>
      </c>
      <c r="H202" s="26">
        <v>985</v>
      </c>
      <c r="I202" s="26">
        <v>1083</v>
      </c>
      <c r="J202" s="26">
        <v>792</v>
      </c>
      <c r="K202" s="26"/>
      <c r="L202" s="26"/>
      <c r="M202" s="26"/>
      <c r="N202" s="26"/>
      <c r="O202" s="26"/>
      <c r="P202" s="26"/>
      <c r="Q202" s="26"/>
      <c r="R202" s="18">
        <f t="shared" si="3"/>
        <v>5504</v>
      </c>
    </row>
    <row r="203" spans="1:18" s="2" customFormat="1" ht="15">
      <c r="A203" s="4" t="s">
        <v>385</v>
      </c>
      <c r="B203" s="3" t="s">
        <v>404</v>
      </c>
      <c r="C203" s="4" t="s">
        <v>405</v>
      </c>
      <c r="D203" s="4">
        <v>18.559999999999999</v>
      </c>
      <c r="E203" s="29">
        <v>2014</v>
      </c>
      <c r="F203" s="26">
        <v>1258</v>
      </c>
      <c r="G203" s="26">
        <v>820</v>
      </c>
      <c r="H203" s="26">
        <v>992</v>
      </c>
      <c r="I203" s="26">
        <v>524</v>
      </c>
      <c r="J203" s="26">
        <v>892</v>
      </c>
      <c r="K203" s="26"/>
      <c r="L203" s="26"/>
      <c r="M203" s="26"/>
      <c r="N203" s="26"/>
      <c r="O203" s="26"/>
      <c r="P203" s="26"/>
      <c r="Q203" s="26"/>
      <c r="R203" s="18">
        <f t="shared" si="3"/>
        <v>4486</v>
      </c>
    </row>
    <row r="204" spans="1:18" s="2" customFormat="1" ht="15">
      <c r="A204" s="4" t="s">
        <v>385</v>
      </c>
      <c r="B204" s="3" t="s">
        <v>406</v>
      </c>
      <c r="C204" s="4" t="s">
        <v>407</v>
      </c>
      <c r="D204" s="4">
        <v>18.52</v>
      </c>
      <c r="E204" s="29">
        <v>2014</v>
      </c>
      <c r="F204" s="26">
        <v>1742</v>
      </c>
      <c r="G204" s="26">
        <v>1285</v>
      </c>
      <c r="H204" s="26">
        <v>1360</v>
      </c>
      <c r="I204" s="26">
        <v>1119</v>
      </c>
      <c r="J204" s="26">
        <v>1325</v>
      </c>
      <c r="K204" s="26"/>
      <c r="L204" s="26"/>
      <c r="M204" s="26"/>
      <c r="N204" s="26"/>
      <c r="O204" s="26"/>
      <c r="P204" s="26"/>
      <c r="Q204" s="26"/>
      <c r="R204" s="18">
        <f t="shared" si="3"/>
        <v>6831</v>
      </c>
    </row>
    <row r="205" spans="1:18" s="2" customFormat="1" ht="15">
      <c r="A205" s="4" t="s">
        <v>385</v>
      </c>
      <c r="B205" s="3" t="s">
        <v>408</v>
      </c>
      <c r="C205" s="4" t="s">
        <v>409</v>
      </c>
      <c r="D205" s="4">
        <v>19.63</v>
      </c>
      <c r="E205" s="29">
        <v>2014</v>
      </c>
      <c r="F205" s="26">
        <v>1365</v>
      </c>
      <c r="G205" s="26">
        <v>1408</v>
      </c>
      <c r="H205" s="26">
        <v>1818</v>
      </c>
      <c r="I205" s="26">
        <v>1056</v>
      </c>
      <c r="J205" s="26">
        <v>1445</v>
      </c>
      <c r="K205" s="26"/>
      <c r="L205" s="26"/>
      <c r="M205" s="26"/>
      <c r="N205" s="26"/>
      <c r="O205" s="26"/>
      <c r="P205" s="26"/>
      <c r="Q205" s="26"/>
      <c r="R205" s="18">
        <f t="shared" si="3"/>
        <v>7092</v>
      </c>
    </row>
    <row r="206" spans="1:18" s="2" customFormat="1" ht="15">
      <c r="A206" s="4" t="s">
        <v>385</v>
      </c>
      <c r="B206" s="3" t="s">
        <v>410</v>
      </c>
      <c r="C206" s="4" t="s">
        <v>411</v>
      </c>
      <c r="D206" s="4">
        <v>6.38</v>
      </c>
      <c r="E206" s="29">
        <v>2014</v>
      </c>
      <c r="F206" s="26">
        <v>402</v>
      </c>
      <c r="G206" s="26">
        <v>395</v>
      </c>
      <c r="H206" s="26">
        <v>425</v>
      </c>
      <c r="I206" s="26">
        <v>192</v>
      </c>
      <c r="J206" s="26">
        <v>567</v>
      </c>
      <c r="K206" s="26"/>
      <c r="L206" s="26"/>
      <c r="M206" s="26"/>
      <c r="N206" s="26"/>
      <c r="O206" s="26"/>
      <c r="P206" s="26"/>
      <c r="Q206" s="26"/>
      <c r="R206" s="18">
        <f t="shared" si="3"/>
        <v>1981</v>
      </c>
    </row>
    <row r="207" spans="1:18" s="2" customFormat="1" ht="15">
      <c r="A207" s="4" t="s">
        <v>385</v>
      </c>
      <c r="B207" s="3" t="s">
        <v>412</v>
      </c>
      <c r="C207" s="4" t="s">
        <v>413</v>
      </c>
      <c r="D207" s="4">
        <v>3.51</v>
      </c>
      <c r="E207" s="29">
        <v>2014</v>
      </c>
      <c r="F207" s="26">
        <v>150</v>
      </c>
      <c r="G207" s="26">
        <v>165</v>
      </c>
      <c r="H207" s="26">
        <v>141</v>
      </c>
      <c r="I207" s="26">
        <v>139</v>
      </c>
      <c r="J207" s="26">
        <v>217</v>
      </c>
      <c r="K207" s="26"/>
      <c r="L207" s="26"/>
      <c r="M207" s="26"/>
      <c r="N207" s="26"/>
      <c r="O207" s="26"/>
      <c r="P207" s="26"/>
      <c r="Q207" s="26"/>
      <c r="R207" s="18">
        <f t="shared" si="3"/>
        <v>812</v>
      </c>
    </row>
    <row r="208" spans="1:18" s="2" customFormat="1" ht="15">
      <c r="A208" s="4" t="s">
        <v>385</v>
      </c>
      <c r="B208" s="3" t="s">
        <v>414</v>
      </c>
      <c r="C208" s="4" t="s">
        <v>415</v>
      </c>
      <c r="D208" s="4">
        <v>0.59</v>
      </c>
      <c r="E208" s="29">
        <v>2014</v>
      </c>
      <c r="F208" s="26">
        <v>12</v>
      </c>
      <c r="G208" s="26">
        <v>20</v>
      </c>
      <c r="H208" s="26">
        <v>10</v>
      </c>
      <c r="I208" s="26">
        <v>30</v>
      </c>
      <c r="J208" s="26">
        <v>40</v>
      </c>
      <c r="K208" s="26"/>
      <c r="L208" s="26"/>
      <c r="M208" s="26"/>
      <c r="N208" s="26"/>
      <c r="O208" s="26"/>
      <c r="P208" s="26"/>
      <c r="Q208" s="26"/>
      <c r="R208" s="18">
        <f t="shared" si="3"/>
        <v>112</v>
      </c>
    </row>
    <row r="209" spans="1:18" s="2" customFormat="1" ht="15">
      <c r="A209" s="4" t="s">
        <v>385</v>
      </c>
      <c r="B209" s="3" t="s">
        <v>416</v>
      </c>
      <c r="C209" s="4" t="s">
        <v>417</v>
      </c>
      <c r="D209" s="4">
        <v>18.59</v>
      </c>
      <c r="E209" s="29">
        <v>2014</v>
      </c>
      <c r="F209" s="26">
        <v>1729</v>
      </c>
      <c r="G209" s="26">
        <v>1921</v>
      </c>
      <c r="H209" s="26">
        <v>1614</v>
      </c>
      <c r="I209" s="26">
        <v>1087</v>
      </c>
      <c r="J209" s="26">
        <v>1783</v>
      </c>
      <c r="K209" s="26"/>
      <c r="L209" s="26"/>
      <c r="M209" s="26"/>
      <c r="N209" s="26"/>
      <c r="O209" s="26"/>
      <c r="P209" s="26"/>
      <c r="Q209" s="26"/>
      <c r="R209" s="18">
        <f t="shared" si="3"/>
        <v>8134</v>
      </c>
    </row>
    <row r="210" spans="1:18" s="2" customFormat="1" ht="15">
      <c r="A210" s="4" t="s">
        <v>385</v>
      </c>
      <c r="B210" s="3" t="s">
        <v>418</v>
      </c>
      <c r="C210" s="4" t="s">
        <v>419</v>
      </c>
      <c r="D210" s="4">
        <v>18.5</v>
      </c>
      <c r="E210" s="29">
        <v>2014</v>
      </c>
      <c r="F210" s="26">
        <v>1192</v>
      </c>
      <c r="G210" s="26">
        <v>887</v>
      </c>
      <c r="H210" s="26">
        <v>855</v>
      </c>
      <c r="I210" s="26">
        <v>724</v>
      </c>
      <c r="J210" s="26">
        <v>1675</v>
      </c>
      <c r="K210" s="26"/>
      <c r="L210" s="26"/>
      <c r="M210" s="26"/>
      <c r="N210" s="26"/>
      <c r="O210" s="26"/>
      <c r="P210" s="26"/>
      <c r="Q210" s="26"/>
      <c r="R210" s="18">
        <f t="shared" si="3"/>
        <v>5333</v>
      </c>
    </row>
    <row r="211" spans="1:18" s="2" customFormat="1" ht="15">
      <c r="A211" s="4" t="s">
        <v>385</v>
      </c>
      <c r="B211" s="3" t="s">
        <v>420</v>
      </c>
      <c r="C211" s="4" t="s">
        <v>421</v>
      </c>
      <c r="D211" s="4">
        <v>18.05</v>
      </c>
      <c r="E211" s="29">
        <v>2014</v>
      </c>
      <c r="F211" s="26">
        <v>1351</v>
      </c>
      <c r="G211" s="26">
        <v>1484</v>
      </c>
      <c r="H211" s="26">
        <v>1323</v>
      </c>
      <c r="I211" s="26">
        <v>909</v>
      </c>
      <c r="J211" s="26">
        <v>1563</v>
      </c>
      <c r="K211" s="26"/>
      <c r="L211" s="26"/>
      <c r="M211" s="26"/>
      <c r="N211" s="26"/>
      <c r="O211" s="26"/>
      <c r="P211" s="26"/>
      <c r="Q211" s="26"/>
      <c r="R211" s="18">
        <f t="shared" si="3"/>
        <v>6630</v>
      </c>
    </row>
    <row r="212" spans="1:18" s="2" customFormat="1" ht="15">
      <c r="A212" s="4" t="s">
        <v>385</v>
      </c>
      <c r="B212" s="3" t="s">
        <v>422</v>
      </c>
      <c r="C212" s="4" t="s">
        <v>423</v>
      </c>
      <c r="D212" s="4">
        <v>17.260000000000002</v>
      </c>
      <c r="E212" s="29">
        <v>2014</v>
      </c>
      <c r="F212" s="26">
        <v>1307</v>
      </c>
      <c r="G212" s="26">
        <v>1193</v>
      </c>
      <c r="H212" s="26">
        <v>937</v>
      </c>
      <c r="I212" s="26">
        <v>870</v>
      </c>
      <c r="J212" s="26">
        <v>975</v>
      </c>
      <c r="K212" s="26"/>
      <c r="L212" s="26"/>
      <c r="M212" s="26"/>
      <c r="N212" s="26"/>
      <c r="O212" s="26"/>
      <c r="P212" s="26"/>
      <c r="Q212" s="26"/>
      <c r="R212" s="18">
        <f t="shared" si="3"/>
        <v>5282</v>
      </c>
    </row>
    <row r="213" spans="1:18" s="2" customFormat="1" ht="15">
      <c r="A213" s="4" t="s">
        <v>385</v>
      </c>
      <c r="B213" s="3" t="s">
        <v>424</v>
      </c>
      <c r="C213" s="4" t="s">
        <v>425</v>
      </c>
      <c r="D213" s="4">
        <v>13.12</v>
      </c>
      <c r="E213" s="29">
        <v>2014</v>
      </c>
      <c r="F213" s="26">
        <v>1367</v>
      </c>
      <c r="G213" s="26">
        <v>1055</v>
      </c>
      <c r="H213" s="26">
        <v>1089</v>
      </c>
      <c r="I213" s="26">
        <v>849</v>
      </c>
      <c r="J213" s="26">
        <v>1048</v>
      </c>
      <c r="K213" s="26"/>
      <c r="L213" s="26"/>
      <c r="M213" s="26"/>
      <c r="N213" s="26"/>
      <c r="O213" s="26"/>
      <c r="P213" s="26"/>
      <c r="Q213" s="26"/>
      <c r="R213" s="18">
        <f t="shared" si="3"/>
        <v>5408</v>
      </c>
    </row>
    <row r="214" spans="1:18" s="2" customFormat="1" ht="15">
      <c r="A214" s="4" t="s">
        <v>385</v>
      </c>
      <c r="B214" s="3" t="s">
        <v>426</v>
      </c>
      <c r="C214" s="4" t="s">
        <v>427</v>
      </c>
      <c r="D214" s="4">
        <v>11.11</v>
      </c>
      <c r="E214" s="29">
        <v>2014</v>
      </c>
      <c r="F214" s="26">
        <v>490</v>
      </c>
      <c r="G214" s="26">
        <v>471</v>
      </c>
      <c r="H214" s="26">
        <v>682</v>
      </c>
      <c r="I214" s="26">
        <v>545</v>
      </c>
      <c r="J214" s="26">
        <v>825</v>
      </c>
      <c r="K214" s="26"/>
      <c r="L214" s="26"/>
      <c r="M214" s="26"/>
      <c r="N214" s="26"/>
      <c r="O214" s="26"/>
      <c r="P214" s="26"/>
      <c r="Q214" s="26"/>
      <c r="R214" s="18">
        <f t="shared" si="3"/>
        <v>3013</v>
      </c>
    </row>
    <row r="215" spans="1:18" s="2" customFormat="1" ht="15">
      <c r="A215" s="4" t="s">
        <v>385</v>
      </c>
      <c r="B215" s="3" t="s">
        <v>428</v>
      </c>
      <c r="C215" s="4" t="s">
        <v>429</v>
      </c>
      <c r="D215" s="4">
        <v>7.62</v>
      </c>
      <c r="E215" s="29">
        <v>2014</v>
      </c>
      <c r="F215" s="26">
        <v>510</v>
      </c>
      <c r="G215" s="26">
        <v>356</v>
      </c>
      <c r="H215" s="26">
        <v>525</v>
      </c>
      <c r="I215" s="26">
        <v>179</v>
      </c>
      <c r="J215" s="26">
        <v>283</v>
      </c>
      <c r="K215" s="26"/>
      <c r="L215" s="26"/>
      <c r="M215" s="26"/>
      <c r="N215" s="26"/>
      <c r="O215" s="26"/>
      <c r="P215" s="26"/>
      <c r="Q215" s="26"/>
      <c r="R215" s="18">
        <f t="shared" si="3"/>
        <v>1853</v>
      </c>
    </row>
    <row r="216" spans="1:18" s="2" customFormat="1" ht="15">
      <c r="A216" s="4" t="s">
        <v>385</v>
      </c>
      <c r="B216" s="3" t="s">
        <v>430</v>
      </c>
      <c r="C216" s="4" t="s">
        <v>431</v>
      </c>
      <c r="D216" s="4">
        <v>19.48</v>
      </c>
      <c r="E216" s="29">
        <v>2014</v>
      </c>
      <c r="F216" s="26">
        <v>965</v>
      </c>
      <c r="G216" s="26">
        <v>756</v>
      </c>
      <c r="H216" s="26">
        <v>1010</v>
      </c>
      <c r="I216" s="26">
        <v>527</v>
      </c>
      <c r="J216" s="26">
        <v>584</v>
      </c>
      <c r="K216" s="26"/>
      <c r="L216" s="26"/>
      <c r="M216" s="26"/>
      <c r="N216" s="26"/>
      <c r="O216" s="26"/>
      <c r="P216" s="26"/>
      <c r="Q216" s="26"/>
      <c r="R216" s="18">
        <f t="shared" si="3"/>
        <v>3842</v>
      </c>
    </row>
    <row r="217" spans="1:18" s="2" customFormat="1" ht="15">
      <c r="A217" s="4" t="s">
        <v>385</v>
      </c>
      <c r="B217" s="3" t="s">
        <v>432</v>
      </c>
      <c r="C217" s="4" t="s">
        <v>433</v>
      </c>
      <c r="D217" s="4">
        <v>18.559999999999999</v>
      </c>
      <c r="E217" s="29">
        <v>2014</v>
      </c>
      <c r="F217" s="26">
        <v>682</v>
      </c>
      <c r="G217" s="26">
        <v>390</v>
      </c>
      <c r="H217" s="26">
        <v>408</v>
      </c>
      <c r="I217" s="26">
        <v>204</v>
      </c>
      <c r="J217" s="26">
        <v>346</v>
      </c>
      <c r="K217" s="26"/>
      <c r="L217" s="26"/>
      <c r="M217" s="26"/>
      <c r="N217" s="26"/>
      <c r="O217" s="26"/>
      <c r="P217" s="26"/>
      <c r="Q217" s="26"/>
      <c r="R217" s="18">
        <f t="shared" si="3"/>
        <v>2030</v>
      </c>
    </row>
    <row r="218" spans="1:18" s="2" customFormat="1" ht="15">
      <c r="A218" s="4" t="s">
        <v>385</v>
      </c>
      <c r="B218" s="3" t="s">
        <v>434</v>
      </c>
      <c r="C218" s="4" t="s">
        <v>435</v>
      </c>
      <c r="D218" s="4">
        <v>5.31</v>
      </c>
      <c r="E218" s="29">
        <v>2014</v>
      </c>
      <c r="F218" s="26">
        <v>260</v>
      </c>
      <c r="G218" s="26">
        <v>319</v>
      </c>
      <c r="H218" s="26">
        <v>305</v>
      </c>
      <c r="I218" s="26">
        <v>199</v>
      </c>
      <c r="J218" s="26">
        <v>164</v>
      </c>
      <c r="K218" s="26"/>
      <c r="L218" s="26"/>
      <c r="M218" s="26"/>
      <c r="N218" s="26"/>
      <c r="O218" s="26"/>
      <c r="P218" s="26"/>
      <c r="Q218" s="26"/>
      <c r="R218" s="18">
        <f t="shared" si="3"/>
        <v>1247</v>
      </c>
    </row>
    <row r="219" spans="1:18" s="2" customFormat="1" ht="15">
      <c r="A219" s="4" t="s">
        <v>385</v>
      </c>
      <c r="B219" s="3" t="s">
        <v>436</v>
      </c>
      <c r="C219" s="4" t="s">
        <v>437</v>
      </c>
      <c r="D219" s="4">
        <v>17.329999999999998</v>
      </c>
      <c r="E219" s="29">
        <v>2014</v>
      </c>
      <c r="F219" s="26">
        <v>1652</v>
      </c>
      <c r="G219" s="26">
        <v>1625</v>
      </c>
      <c r="H219" s="26">
        <v>1557</v>
      </c>
      <c r="I219" s="26">
        <v>1219</v>
      </c>
      <c r="J219" s="26">
        <v>942</v>
      </c>
      <c r="K219" s="26"/>
      <c r="L219" s="26"/>
      <c r="M219" s="26"/>
      <c r="N219" s="26"/>
      <c r="O219" s="26"/>
      <c r="P219" s="26"/>
      <c r="Q219" s="26"/>
      <c r="R219" s="18">
        <f t="shared" si="3"/>
        <v>6995</v>
      </c>
    </row>
    <row r="220" spans="1:18" s="2" customFormat="1" ht="15">
      <c r="A220" s="4" t="s">
        <v>385</v>
      </c>
      <c r="B220" s="3" t="s">
        <v>438</v>
      </c>
      <c r="C220" s="4" t="s">
        <v>439</v>
      </c>
      <c r="D220" s="4">
        <v>18.48</v>
      </c>
      <c r="E220" s="29">
        <v>2014</v>
      </c>
      <c r="F220" s="26">
        <v>986</v>
      </c>
      <c r="G220" s="26">
        <v>312</v>
      </c>
      <c r="H220" s="26">
        <v>603</v>
      </c>
      <c r="I220" s="26">
        <v>225</v>
      </c>
      <c r="J220" s="26">
        <v>420</v>
      </c>
      <c r="K220" s="26"/>
      <c r="L220" s="26"/>
      <c r="M220" s="26"/>
      <c r="N220" s="26"/>
      <c r="O220" s="26"/>
      <c r="P220" s="26"/>
      <c r="Q220" s="26"/>
      <c r="R220" s="18">
        <f t="shared" si="3"/>
        <v>2546</v>
      </c>
    </row>
    <row r="221" spans="1:18" s="2" customFormat="1" ht="15">
      <c r="A221" s="4" t="s">
        <v>385</v>
      </c>
      <c r="B221" s="3" t="s">
        <v>440</v>
      </c>
      <c r="C221" s="4" t="s">
        <v>441</v>
      </c>
      <c r="D221" s="4">
        <v>18.98</v>
      </c>
      <c r="E221" s="29">
        <v>2014</v>
      </c>
      <c r="F221" s="26">
        <v>2135</v>
      </c>
      <c r="G221" s="26">
        <v>1652</v>
      </c>
      <c r="H221" s="26">
        <v>1666</v>
      </c>
      <c r="I221" s="26">
        <v>1374</v>
      </c>
      <c r="J221" s="26">
        <v>1317</v>
      </c>
      <c r="K221" s="26"/>
      <c r="L221" s="26"/>
      <c r="M221" s="26"/>
      <c r="N221" s="26"/>
      <c r="O221" s="26"/>
      <c r="P221" s="26"/>
      <c r="Q221" s="26"/>
      <c r="R221" s="18">
        <f t="shared" si="3"/>
        <v>8144</v>
      </c>
    </row>
    <row r="222" spans="1:18" s="2" customFormat="1" ht="15">
      <c r="A222" s="4" t="s">
        <v>385</v>
      </c>
      <c r="B222" s="3" t="s">
        <v>442</v>
      </c>
      <c r="C222" s="4" t="s">
        <v>443</v>
      </c>
      <c r="D222" s="4">
        <v>17.989999999999998</v>
      </c>
      <c r="E222" s="29">
        <v>2014</v>
      </c>
      <c r="F222" s="26">
        <v>1129</v>
      </c>
      <c r="G222" s="26">
        <v>994</v>
      </c>
      <c r="H222" s="26">
        <v>1189</v>
      </c>
      <c r="I222" s="26">
        <v>778</v>
      </c>
      <c r="J222" s="26">
        <v>809</v>
      </c>
      <c r="K222" s="26"/>
      <c r="L222" s="26"/>
      <c r="M222" s="26"/>
      <c r="N222" s="26"/>
      <c r="O222" s="26"/>
      <c r="P222" s="26"/>
      <c r="Q222" s="26"/>
      <c r="R222" s="18">
        <f t="shared" si="3"/>
        <v>4899</v>
      </c>
    </row>
    <row r="223" spans="1:18" s="2" customFormat="1" ht="15">
      <c r="A223" s="4" t="s">
        <v>385</v>
      </c>
      <c r="B223" s="3" t="s">
        <v>444</v>
      </c>
      <c r="C223" s="4" t="s">
        <v>445</v>
      </c>
      <c r="D223" s="4">
        <v>15.06</v>
      </c>
      <c r="E223" s="29">
        <v>2014</v>
      </c>
      <c r="F223" s="26">
        <v>1316</v>
      </c>
      <c r="G223" s="26">
        <v>1150</v>
      </c>
      <c r="H223" s="26">
        <v>1425</v>
      </c>
      <c r="I223" s="26">
        <v>1081</v>
      </c>
      <c r="J223" s="26">
        <v>912</v>
      </c>
      <c r="K223" s="26"/>
      <c r="L223" s="26"/>
      <c r="M223" s="26"/>
      <c r="N223" s="26"/>
      <c r="O223" s="26"/>
      <c r="P223" s="26"/>
      <c r="Q223" s="26"/>
      <c r="R223" s="18">
        <f t="shared" si="3"/>
        <v>5884</v>
      </c>
    </row>
    <row r="224" spans="1:18" s="2" customFormat="1" ht="15">
      <c r="A224" s="4" t="s">
        <v>385</v>
      </c>
      <c r="B224" s="3" t="s">
        <v>446</v>
      </c>
      <c r="C224" s="4" t="s">
        <v>447</v>
      </c>
      <c r="D224" s="4">
        <v>12.77</v>
      </c>
      <c r="E224" s="29">
        <v>2014</v>
      </c>
      <c r="F224" s="26">
        <v>1291</v>
      </c>
      <c r="G224" s="26">
        <v>1014</v>
      </c>
      <c r="H224" s="26">
        <v>1102</v>
      </c>
      <c r="I224" s="26">
        <v>676</v>
      </c>
      <c r="J224" s="26">
        <v>456</v>
      </c>
      <c r="K224" s="26"/>
      <c r="L224" s="26"/>
      <c r="M224" s="26"/>
      <c r="N224" s="26"/>
      <c r="O224" s="26"/>
      <c r="P224" s="26"/>
      <c r="Q224" s="26"/>
      <c r="R224" s="18">
        <f t="shared" si="3"/>
        <v>4539</v>
      </c>
    </row>
    <row r="225" spans="1:18" s="2" customFormat="1" ht="15">
      <c r="A225" s="4" t="s">
        <v>385</v>
      </c>
      <c r="B225" s="3" t="s">
        <v>448</v>
      </c>
      <c r="C225" s="4" t="s">
        <v>449</v>
      </c>
      <c r="D225" s="4">
        <v>10.98</v>
      </c>
      <c r="E225" s="29">
        <v>2014</v>
      </c>
      <c r="F225" s="26">
        <v>780</v>
      </c>
      <c r="G225" s="26">
        <v>580</v>
      </c>
      <c r="H225" s="26">
        <v>744</v>
      </c>
      <c r="I225" s="26">
        <v>336</v>
      </c>
      <c r="J225" s="26">
        <v>454</v>
      </c>
      <c r="K225" s="26"/>
      <c r="L225" s="26"/>
      <c r="M225" s="26"/>
      <c r="N225" s="26"/>
      <c r="O225" s="26"/>
      <c r="P225" s="26"/>
      <c r="Q225" s="26"/>
      <c r="R225" s="18">
        <f t="shared" si="3"/>
        <v>2894</v>
      </c>
    </row>
    <row r="226" spans="1:18" s="2" customFormat="1" ht="15">
      <c r="A226" s="4" t="s">
        <v>385</v>
      </c>
      <c r="B226" s="3" t="s">
        <v>450</v>
      </c>
      <c r="C226" s="4" t="s">
        <v>451</v>
      </c>
      <c r="D226" s="4">
        <v>6.73</v>
      </c>
      <c r="E226" s="29">
        <v>2014</v>
      </c>
      <c r="F226" s="26">
        <v>290</v>
      </c>
      <c r="G226" s="26">
        <v>255</v>
      </c>
      <c r="H226" s="26">
        <v>285</v>
      </c>
      <c r="I226" s="26">
        <v>222</v>
      </c>
      <c r="J226" s="26">
        <v>355</v>
      </c>
      <c r="K226" s="26"/>
      <c r="L226" s="26"/>
      <c r="M226" s="26"/>
      <c r="N226" s="26"/>
      <c r="O226" s="26"/>
      <c r="P226" s="26"/>
      <c r="Q226" s="26"/>
      <c r="R226" s="18">
        <f t="shared" si="3"/>
        <v>1407</v>
      </c>
    </row>
    <row r="227" spans="1:18" s="2" customFormat="1" ht="15">
      <c r="A227" s="4" t="s">
        <v>385</v>
      </c>
      <c r="B227" s="3" t="s">
        <v>452</v>
      </c>
      <c r="C227" s="4" t="s">
        <v>453</v>
      </c>
      <c r="D227" s="4">
        <v>5.87</v>
      </c>
      <c r="E227" s="29">
        <v>2014</v>
      </c>
      <c r="F227" s="26">
        <v>58</v>
      </c>
      <c r="G227" s="26">
        <v>42</v>
      </c>
      <c r="H227" s="26">
        <v>90</v>
      </c>
      <c r="I227" s="26">
        <v>71</v>
      </c>
      <c r="J227" s="26">
        <v>130</v>
      </c>
      <c r="K227" s="26"/>
      <c r="L227" s="26"/>
      <c r="M227" s="26"/>
      <c r="N227" s="26"/>
      <c r="O227" s="26"/>
      <c r="P227" s="26"/>
      <c r="Q227" s="26"/>
      <c r="R227" s="18">
        <f t="shared" si="3"/>
        <v>391</v>
      </c>
    </row>
    <row r="228" spans="1:18" s="2" customFormat="1" ht="15">
      <c r="A228" s="4" t="s">
        <v>385</v>
      </c>
      <c r="B228" s="3" t="s">
        <v>454</v>
      </c>
      <c r="C228" s="4" t="s">
        <v>455</v>
      </c>
      <c r="D228" s="4">
        <v>19.739999999999998</v>
      </c>
      <c r="E228" s="29">
        <v>2014</v>
      </c>
      <c r="F228" s="26">
        <v>1411</v>
      </c>
      <c r="G228" s="26">
        <v>939</v>
      </c>
      <c r="H228" s="26">
        <v>927</v>
      </c>
      <c r="I228" s="26">
        <v>506</v>
      </c>
      <c r="J228" s="26">
        <v>594</v>
      </c>
      <c r="K228" s="26"/>
      <c r="L228" s="26"/>
      <c r="M228" s="26"/>
      <c r="N228" s="26"/>
      <c r="O228" s="26"/>
      <c r="P228" s="26"/>
      <c r="Q228" s="26"/>
      <c r="R228" s="18">
        <f t="shared" si="3"/>
        <v>4377</v>
      </c>
    </row>
    <row r="229" spans="1:18" s="2" customFormat="1" ht="15">
      <c r="A229" s="4" t="s">
        <v>385</v>
      </c>
      <c r="B229" s="3" t="s">
        <v>456</v>
      </c>
      <c r="C229" s="4" t="s">
        <v>457</v>
      </c>
      <c r="D229" s="4">
        <v>18.73</v>
      </c>
      <c r="E229" s="29">
        <v>2014</v>
      </c>
      <c r="F229" s="26">
        <v>1457</v>
      </c>
      <c r="G229" s="26">
        <v>1187</v>
      </c>
      <c r="H229" s="26">
        <v>1207</v>
      </c>
      <c r="I229" s="26">
        <v>543</v>
      </c>
      <c r="J229" s="26">
        <v>687</v>
      </c>
      <c r="K229" s="26"/>
      <c r="L229" s="26"/>
      <c r="M229" s="26"/>
      <c r="N229" s="26"/>
      <c r="O229" s="26"/>
      <c r="P229" s="26"/>
      <c r="Q229" s="26"/>
      <c r="R229" s="18">
        <f t="shared" si="3"/>
        <v>5081</v>
      </c>
    </row>
    <row r="230" spans="1:18" s="2" customFormat="1" ht="15">
      <c r="A230" s="4" t="s">
        <v>385</v>
      </c>
      <c r="B230" s="3" t="s">
        <v>458</v>
      </c>
      <c r="C230" s="4" t="s">
        <v>459</v>
      </c>
      <c r="D230" s="4">
        <v>20.100000000000001</v>
      </c>
      <c r="E230" s="29">
        <v>2014</v>
      </c>
      <c r="F230" s="26">
        <v>385</v>
      </c>
      <c r="G230" s="26">
        <v>200</v>
      </c>
      <c r="H230" s="26">
        <v>287</v>
      </c>
      <c r="I230" s="26">
        <v>191</v>
      </c>
      <c r="J230" s="26">
        <v>97</v>
      </c>
      <c r="K230" s="26"/>
      <c r="L230" s="26"/>
      <c r="M230" s="26"/>
      <c r="N230" s="26"/>
      <c r="O230" s="26"/>
      <c r="P230" s="26"/>
      <c r="Q230" s="26"/>
      <c r="R230" s="18">
        <f t="shared" si="3"/>
        <v>1160</v>
      </c>
    </row>
    <row r="231" spans="1:18" s="2" customFormat="1" ht="15">
      <c r="A231" s="4" t="s">
        <v>385</v>
      </c>
      <c r="B231" s="3" t="s">
        <v>460</v>
      </c>
      <c r="C231" s="4" t="s">
        <v>461</v>
      </c>
      <c r="D231" s="4">
        <v>19.989999999999998</v>
      </c>
      <c r="E231" s="29">
        <v>2014</v>
      </c>
      <c r="F231" s="26">
        <v>1745</v>
      </c>
      <c r="G231" s="26">
        <v>1413</v>
      </c>
      <c r="H231" s="26">
        <v>1439</v>
      </c>
      <c r="I231" s="26">
        <v>1315</v>
      </c>
      <c r="J231" s="26">
        <v>910</v>
      </c>
      <c r="K231" s="26"/>
      <c r="L231" s="26"/>
      <c r="M231" s="26"/>
      <c r="N231" s="26"/>
      <c r="O231" s="26"/>
      <c r="P231" s="26"/>
      <c r="Q231" s="26"/>
      <c r="R231" s="18">
        <f t="shared" si="3"/>
        <v>6822</v>
      </c>
    </row>
    <row r="232" spans="1:18" s="2" customFormat="1" ht="15">
      <c r="A232" s="4" t="s">
        <v>385</v>
      </c>
      <c r="B232" s="3" t="s">
        <v>462</v>
      </c>
      <c r="C232" s="4" t="s">
        <v>463</v>
      </c>
      <c r="D232" s="4">
        <v>19.010000000000002</v>
      </c>
      <c r="E232" s="29">
        <v>2014</v>
      </c>
      <c r="F232" s="26">
        <v>1301</v>
      </c>
      <c r="G232" s="26">
        <v>652</v>
      </c>
      <c r="H232" s="26">
        <v>693</v>
      </c>
      <c r="I232" s="26">
        <v>361</v>
      </c>
      <c r="J232" s="26">
        <v>409</v>
      </c>
      <c r="K232" s="26"/>
      <c r="L232" s="26"/>
      <c r="M232" s="26"/>
      <c r="N232" s="26"/>
      <c r="O232" s="26"/>
      <c r="P232" s="26"/>
      <c r="Q232" s="26"/>
      <c r="R232" s="18">
        <f t="shared" si="3"/>
        <v>3416</v>
      </c>
    </row>
    <row r="233" spans="1:18" s="2" customFormat="1" ht="15">
      <c r="A233" s="4" t="s">
        <v>385</v>
      </c>
      <c r="B233" s="3" t="s">
        <v>464</v>
      </c>
      <c r="C233" s="4" t="s">
        <v>465</v>
      </c>
      <c r="D233" s="4">
        <v>7.27</v>
      </c>
      <c r="E233" s="29">
        <v>2014</v>
      </c>
      <c r="F233" s="26">
        <v>457</v>
      </c>
      <c r="G233" s="26">
        <v>381</v>
      </c>
      <c r="H233" s="26">
        <v>337</v>
      </c>
      <c r="I233" s="26">
        <v>157</v>
      </c>
      <c r="J233" s="26">
        <v>532</v>
      </c>
      <c r="K233" s="26"/>
      <c r="L233" s="26"/>
      <c r="M233" s="26"/>
      <c r="N233" s="26"/>
      <c r="O233" s="26"/>
      <c r="P233" s="26"/>
      <c r="Q233" s="26"/>
      <c r="R233" s="18">
        <f t="shared" si="3"/>
        <v>1864</v>
      </c>
    </row>
    <row r="234" spans="1:18" s="2" customFormat="1" ht="15">
      <c r="A234" s="4" t="s">
        <v>385</v>
      </c>
      <c r="B234" s="3" t="s">
        <v>466</v>
      </c>
      <c r="C234" s="4" t="s">
        <v>467</v>
      </c>
      <c r="D234" s="4">
        <v>16.05</v>
      </c>
      <c r="E234" s="29">
        <v>2015</v>
      </c>
      <c r="F234" s="26">
        <v>654</v>
      </c>
      <c r="G234" s="26">
        <v>575</v>
      </c>
      <c r="H234" s="26">
        <v>834</v>
      </c>
      <c r="I234" s="26">
        <v>697</v>
      </c>
      <c r="J234" s="26">
        <v>671</v>
      </c>
      <c r="K234" s="26"/>
      <c r="L234" s="26"/>
      <c r="M234" s="26"/>
      <c r="N234" s="26"/>
      <c r="O234" s="26"/>
      <c r="P234" s="26"/>
      <c r="Q234" s="26"/>
      <c r="R234" s="18">
        <f t="shared" si="3"/>
        <v>3431</v>
      </c>
    </row>
    <row r="235" spans="1:18" s="2" customFormat="1" ht="15">
      <c r="A235" s="4" t="s">
        <v>385</v>
      </c>
      <c r="B235" s="3" t="s">
        <v>468</v>
      </c>
      <c r="C235" s="4" t="s">
        <v>469</v>
      </c>
      <c r="D235" s="4">
        <v>22.13</v>
      </c>
      <c r="E235" s="29">
        <v>2015</v>
      </c>
      <c r="F235" s="26">
        <v>925</v>
      </c>
      <c r="G235" s="26">
        <v>720</v>
      </c>
      <c r="H235" s="26">
        <v>1096</v>
      </c>
      <c r="I235" s="26">
        <v>1050</v>
      </c>
      <c r="J235" s="26">
        <v>1276</v>
      </c>
      <c r="K235" s="26"/>
      <c r="L235" s="26"/>
      <c r="M235" s="26"/>
      <c r="N235" s="26"/>
      <c r="O235" s="26"/>
      <c r="P235" s="26"/>
      <c r="Q235" s="26"/>
      <c r="R235" s="18">
        <f t="shared" si="3"/>
        <v>5067</v>
      </c>
    </row>
    <row r="236" spans="1:18" s="2" customFormat="1" ht="15">
      <c r="A236" s="4" t="s">
        <v>385</v>
      </c>
      <c r="B236" s="3" t="s">
        <v>470</v>
      </c>
      <c r="C236" s="4" t="s">
        <v>471</v>
      </c>
      <c r="D236" s="4">
        <v>20.059999999999999</v>
      </c>
      <c r="E236" s="29">
        <v>2015</v>
      </c>
      <c r="F236" s="26">
        <v>1169</v>
      </c>
      <c r="G236" s="26">
        <v>1056</v>
      </c>
      <c r="H236" s="26">
        <v>842</v>
      </c>
      <c r="I236" s="26">
        <v>925</v>
      </c>
      <c r="J236" s="26">
        <v>1090</v>
      </c>
      <c r="K236" s="26"/>
      <c r="L236" s="26"/>
      <c r="M236" s="26"/>
      <c r="N236" s="26"/>
      <c r="O236" s="26"/>
      <c r="P236" s="26"/>
      <c r="Q236" s="26"/>
      <c r="R236" s="18">
        <f t="shared" si="3"/>
        <v>5082</v>
      </c>
    </row>
    <row r="237" spans="1:18" s="2" customFormat="1" ht="15">
      <c r="A237" s="4" t="s">
        <v>385</v>
      </c>
      <c r="B237" s="3" t="s">
        <v>472</v>
      </c>
      <c r="C237" s="4" t="s">
        <v>473</v>
      </c>
      <c r="D237" s="4">
        <v>18.36</v>
      </c>
      <c r="E237" s="29">
        <v>2015</v>
      </c>
      <c r="F237" s="26">
        <v>1674</v>
      </c>
      <c r="G237" s="26">
        <v>1370</v>
      </c>
      <c r="H237" s="26">
        <v>1490</v>
      </c>
      <c r="I237" s="26">
        <v>1508</v>
      </c>
      <c r="J237" s="26">
        <v>982</v>
      </c>
      <c r="K237" s="26"/>
      <c r="L237" s="26"/>
      <c r="M237" s="26"/>
      <c r="N237" s="26"/>
      <c r="O237" s="26"/>
      <c r="P237" s="26"/>
      <c r="Q237" s="26"/>
      <c r="R237" s="18">
        <f t="shared" si="3"/>
        <v>7024</v>
      </c>
    </row>
    <row r="238" spans="1:18" s="2" customFormat="1" ht="15">
      <c r="A238" s="4" t="s">
        <v>385</v>
      </c>
      <c r="B238" s="3" t="s">
        <v>474</v>
      </c>
      <c r="C238" s="4" t="s">
        <v>475</v>
      </c>
      <c r="D238" s="4">
        <v>19.45</v>
      </c>
      <c r="E238" s="29">
        <v>2015</v>
      </c>
      <c r="F238" s="26">
        <v>1521</v>
      </c>
      <c r="G238" s="26">
        <v>1344</v>
      </c>
      <c r="H238" s="26">
        <v>999</v>
      </c>
      <c r="I238" s="26">
        <v>829</v>
      </c>
      <c r="J238" s="26">
        <v>895</v>
      </c>
      <c r="K238" s="26"/>
      <c r="L238" s="26"/>
      <c r="M238" s="26"/>
      <c r="N238" s="26"/>
      <c r="O238" s="26"/>
      <c r="P238" s="26"/>
      <c r="Q238" s="26"/>
      <c r="R238" s="18">
        <f t="shared" si="3"/>
        <v>5588</v>
      </c>
    </row>
    <row r="239" spans="1:18" s="2" customFormat="1" ht="15">
      <c r="A239" s="4" t="s">
        <v>385</v>
      </c>
      <c r="B239" s="3" t="s">
        <v>476</v>
      </c>
      <c r="C239" s="4" t="s">
        <v>477</v>
      </c>
      <c r="D239" s="4">
        <v>19.18</v>
      </c>
      <c r="E239" s="29">
        <v>2015</v>
      </c>
      <c r="F239" s="26">
        <v>1650</v>
      </c>
      <c r="G239" s="26">
        <v>1720</v>
      </c>
      <c r="H239" s="26">
        <v>1180</v>
      </c>
      <c r="I239" s="26">
        <v>1162</v>
      </c>
      <c r="J239" s="26">
        <v>1602</v>
      </c>
      <c r="K239" s="26"/>
      <c r="L239" s="26"/>
      <c r="M239" s="26"/>
      <c r="N239" s="26"/>
      <c r="O239" s="26"/>
      <c r="P239" s="26"/>
      <c r="Q239" s="26"/>
      <c r="R239" s="18">
        <f t="shared" si="3"/>
        <v>7314</v>
      </c>
    </row>
    <row r="240" spans="1:18" s="2" customFormat="1" ht="15">
      <c r="A240" s="4" t="s">
        <v>385</v>
      </c>
      <c r="B240" s="3" t="s">
        <v>478</v>
      </c>
      <c r="C240" s="4" t="s">
        <v>479</v>
      </c>
      <c r="D240" s="4">
        <v>5.1100000000000003</v>
      </c>
      <c r="E240" s="29">
        <v>2015</v>
      </c>
      <c r="F240" s="26">
        <v>469</v>
      </c>
      <c r="G240" s="26">
        <v>220</v>
      </c>
      <c r="H240" s="26">
        <v>250</v>
      </c>
      <c r="I240" s="26">
        <v>130</v>
      </c>
      <c r="J240" s="26">
        <v>390</v>
      </c>
      <c r="K240" s="26"/>
      <c r="L240" s="26"/>
      <c r="M240" s="26"/>
      <c r="N240" s="26"/>
      <c r="O240" s="26"/>
      <c r="P240" s="26"/>
      <c r="Q240" s="26"/>
      <c r="R240" s="18">
        <f t="shared" si="3"/>
        <v>1459</v>
      </c>
    </row>
    <row r="241" spans="1:18" s="2" customFormat="1" ht="15">
      <c r="A241" s="4" t="s">
        <v>385</v>
      </c>
      <c r="B241" s="3" t="s">
        <v>480</v>
      </c>
      <c r="C241" s="4" t="s">
        <v>481</v>
      </c>
      <c r="D241" s="4">
        <v>4.21</v>
      </c>
      <c r="E241" s="29">
        <v>2015</v>
      </c>
      <c r="F241" s="26">
        <v>319</v>
      </c>
      <c r="G241" s="26">
        <v>208</v>
      </c>
      <c r="H241" s="26">
        <v>119</v>
      </c>
      <c r="I241" s="26">
        <v>181</v>
      </c>
      <c r="J241" s="26">
        <v>151</v>
      </c>
      <c r="K241" s="26"/>
      <c r="L241" s="26"/>
      <c r="M241" s="26"/>
      <c r="N241" s="26"/>
      <c r="O241" s="26"/>
      <c r="P241" s="26"/>
      <c r="Q241" s="26"/>
      <c r="R241" s="18">
        <f t="shared" si="3"/>
        <v>978</v>
      </c>
    </row>
    <row r="242" spans="1:18" s="2" customFormat="1" ht="15">
      <c r="A242" s="4" t="s">
        <v>385</v>
      </c>
      <c r="B242" s="3" t="s">
        <v>482</v>
      </c>
      <c r="C242" s="4" t="s">
        <v>483</v>
      </c>
      <c r="D242" s="4">
        <v>8.1199999999999992</v>
      </c>
      <c r="E242" s="29">
        <v>2015</v>
      </c>
      <c r="F242" s="26">
        <v>716</v>
      </c>
      <c r="G242" s="26">
        <v>507</v>
      </c>
      <c r="H242" s="26">
        <v>457</v>
      </c>
      <c r="I242" s="26">
        <v>530</v>
      </c>
      <c r="J242" s="26">
        <v>416</v>
      </c>
      <c r="K242" s="26"/>
      <c r="L242" s="26"/>
      <c r="M242" s="26"/>
      <c r="N242" s="26"/>
      <c r="O242" s="26"/>
      <c r="P242" s="26"/>
      <c r="Q242" s="26"/>
      <c r="R242" s="18">
        <f t="shared" si="3"/>
        <v>2626</v>
      </c>
    </row>
    <row r="243" spans="1:18" s="2" customFormat="1" ht="15">
      <c r="A243" s="4" t="s">
        <v>385</v>
      </c>
      <c r="B243" s="3" t="s">
        <v>484</v>
      </c>
      <c r="C243" s="4" t="s">
        <v>485</v>
      </c>
      <c r="D243" s="4">
        <v>22.68</v>
      </c>
      <c r="E243" s="29">
        <v>2015</v>
      </c>
      <c r="F243" s="26">
        <v>1604</v>
      </c>
      <c r="G243" s="26">
        <v>1293</v>
      </c>
      <c r="H243" s="26">
        <v>993</v>
      </c>
      <c r="I243" s="26">
        <v>644</v>
      </c>
      <c r="J243" s="26">
        <v>1058</v>
      </c>
      <c r="K243" s="26"/>
      <c r="L243" s="26"/>
      <c r="M243" s="26"/>
      <c r="N243" s="26"/>
      <c r="O243" s="26"/>
      <c r="P243" s="26"/>
      <c r="Q243" s="26"/>
      <c r="R243" s="18">
        <f t="shared" si="3"/>
        <v>5592</v>
      </c>
    </row>
    <row r="244" spans="1:18" s="2" customFormat="1" ht="15">
      <c r="A244" s="4" t="s">
        <v>385</v>
      </c>
      <c r="B244" s="3" t="s">
        <v>486</v>
      </c>
      <c r="C244" s="4" t="s">
        <v>487</v>
      </c>
      <c r="D244" s="4">
        <v>2.17</v>
      </c>
      <c r="E244" s="29">
        <v>2014</v>
      </c>
      <c r="F244" s="26">
        <v>135</v>
      </c>
      <c r="G244" s="26">
        <v>109</v>
      </c>
      <c r="H244" s="26">
        <v>155</v>
      </c>
      <c r="I244" s="26">
        <v>74</v>
      </c>
      <c r="J244" s="26">
        <v>156</v>
      </c>
      <c r="K244" s="26"/>
      <c r="L244" s="26"/>
      <c r="M244" s="26"/>
      <c r="N244" s="26"/>
      <c r="O244" s="26"/>
      <c r="P244" s="26"/>
      <c r="Q244" s="26"/>
      <c r="R244" s="18">
        <f t="shared" si="3"/>
        <v>629</v>
      </c>
    </row>
    <row r="245" spans="1:18" s="2" customFormat="1" ht="15">
      <c r="A245" s="4" t="s">
        <v>385</v>
      </c>
      <c r="B245" s="3" t="s">
        <v>488</v>
      </c>
      <c r="C245" s="4" t="s">
        <v>479</v>
      </c>
      <c r="D245" s="4">
        <v>3.38</v>
      </c>
      <c r="E245" s="29">
        <v>2021</v>
      </c>
      <c r="F245" s="26">
        <v>134</v>
      </c>
      <c r="G245" s="26">
        <v>250</v>
      </c>
      <c r="H245" s="26">
        <v>125</v>
      </c>
      <c r="I245" s="26">
        <v>185</v>
      </c>
      <c r="J245" s="26">
        <v>310</v>
      </c>
      <c r="K245" s="26"/>
      <c r="L245" s="26"/>
      <c r="M245" s="26"/>
      <c r="N245" s="26"/>
      <c r="O245" s="26"/>
      <c r="P245" s="26"/>
      <c r="Q245" s="26"/>
      <c r="R245" s="18">
        <f t="shared" si="3"/>
        <v>1004</v>
      </c>
    </row>
    <row r="246" spans="1:18" s="2" customFormat="1" ht="15">
      <c r="A246" s="4" t="s">
        <v>385</v>
      </c>
      <c r="B246" s="3" t="s">
        <v>489</v>
      </c>
      <c r="C246" s="4" t="s">
        <v>479</v>
      </c>
      <c r="D246" s="4">
        <v>13.47</v>
      </c>
      <c r="E246" s="29">
        <v>2022</v>
      </c>
      <c r="F246" s="26">
        <v>177</v>
      </c>
      <c r="G246" s="26">
        <v>0</v>
      </c>
      <c r="H246" s="26">
        <v>0</v>
      </c>
      <c r="I246" s="26">
        <v>120</v>
      </c>
      <c r="J246" s="26">
        <v>155</v>
      </c>
      <c r="K246" s="26"/>
      <c r="L246" s="26"/>
      <c r="M246" s="26"/>
      <c r="N246" s="26"/>
      <c r="O246" s="26"/>
      <c r="P246" s="26"/>
      <c r="Q246" s="26"/>
      <c r="R246" s="18">
        <f t="shared" si="3"/>
        <v>452</v>
      </c>
    </row>
    <row r="247" spans="1:18" s="2" customFormat="1" ht="15">
      <c r="A247" s="4" t="s">
        <v>385</v>
      </c>
      <c r="B247" s="3" t="s">
        <v>490</v>
      </c>
      <c r="C247" s="4" t="s">
        <v>483</v>
      </c>
      <c r="D247" s="4">
        <v>11.31</v>
      </c>
      <c r="E247" s="29">
        <v>2023</v>
      </c>
      <c r="F247" s="26">
        <v>0</v>
      </c>
      <c r="G247" s="26">
        <v>0</v>
      </c>
      <c r="H247" s="26">
        <v>0</v>
      </c>
      <c r="I247" s="26">
        <v>301</v>
      </c>
      <c r="J247" s="26">
        <v>221</v>
      </c>
      <c r="K247" s="26"/>
      <c r="L247" s="26"/>
      <c r="M247" s="26"/>
      <c r="N247" s="26"/>
      <c r="O247" s="26"/>
      <c r="P247" s="26"/>
      <c r="Q247" s="26"/>
      <c r="R247" s="18">
        <f t="shared" si="3"/>
        <v>522</v>
      </c>
    </row>
    <row r="248" spans="1:18" s="2" customFormat="1" ht="15">
      <c r="A248" s="4" t="s">
        <v>385</v>
      </c>
      <c r="B248" s="3" t="s">
        <v>491</v>
      </c>
      <c r="C248" s="4" t="s">
        <v>481</v>
      </c>
      <c r="D248" s="4">
        <v>14.98</v>
      </c>
      <c r="E248" s="29">
        <v>2023</v>
      </c>
      <c r="F248" s="26">
        <v>0</v>
      </c>
      <c r="G248" s="26">
        <v>0</v>
      </c>
      <c r="H248" s="26">
        <v>0</v>
      </c>
      <c r="I248" s="26">
        <v>17</v>
      </c>
      <c r="J248" s="26">
        <v>294</v>
      </c>
      <c r="K248" s="26"/>
      <c r="L248" s="26"/>
      <c r="M248" s="26"/>
      <c r="N248" s="26"/>
      <c r="O248" s="26"/>
      <c r="P248" s="26"/>
      <c r="Q248" s="26"/>
      <c r="R248" s="18">
        <f t="shared" si="3"/>
        <v>311</v>
      </c>
    </row>
    <row r="249" spans="1:18" s="2" customFormat="1" ht="15">
      <c r="A249" s="4" t="s">
        <v>492</v>
      </c>
      <c r="B249" s="3" t="s">
        <v>493</v>
      </c>
      <c r="C249" s="4" t="s">
        <v>494</v>
      </c>
      <c r="D249" s="4">
        <v>1.45</v>
      </c>
      <c r="E249" s="29">
        <v>2022</v>
      </c>
      <c r="F249" s="26">
        <v>83</v>
      </c>
      <c r="G249" s="26">
        <v>0</v>
      </c>
      <c r="H249" s="26">
        <v>0</v>
      </c>
      <c r="I249" s="26">
        <v>75</v>
      </c>
      <c r="J249" s="26">
        <v>78</v>
      </c>
      <c r="K249" s="26"/>
      <c r="L249" s="26"/>
      <c r="M249" s="26"/>
      <c r="N249" s="26"/>
      <c r="O249" s="26"/>
      <c r="P249" s="26"/>
      <c r="Q249" s="26"/>
      <c r="R249" s="18">
        <f t="shared" si="3"/>
        <v>236</v>
      </c>
    </row>
    <row r="250" spans="1:18" s="2" customFormat="1" ht="15">
      <c r="A250" s="4" t="s">
        <v>492</v>
      </c>
      <c r="B250" s="3" t="s">
        <v>495</v>
      </c>
      <c r="C250" s="4" t="s">
        <v>496</v>
      </c>
      <c r="D250" s="4">
        <v>18.670000000000002</v>
      </c>
      <c r="E250" s="29">
        <v>2022</v>
      </c>
      <c r="F250" s="26">
        <v>2226</v>
      </c>
      <c r="G250" s="26">
        <v>0</v>
      </c>
      <c r="H250" s="26">
        <v>0</v>
      </c>
      <c r="I250" s="26">
        <v>1666</v>
      </c>
      <c r="J250" s="26">
        <v>1382</v>
      </c>
      <c r="K250" s="26"/>
      <c r="L250" s="26"/>
      <c r="M250" s="26"/>
      <c r="N250" s="26"/>
      <c r="O250" s="26"/>
      <c r="P250" s="26"/>
      <c r="Q250" s="26"/>
      <c r="R250" s="18">
        <f t="shared" si="3"/>
        <v>5274</v>
      </c>
    </row>
    <row r="251" spans="1:18" s="2" customFormat="1" ht="15">
      <c r="A251" s="4" t="s">
        <v>492</v>
      </c>
      <c r="B251" s="3" t="s">
        <v>497</v>
      </c>
      <c r="C251" s="4" t="s">
        <v>498</v>
      </c>
      <c r="D251" s="4">
        <v>19.27</v>
      </c>
      <c r="E251" s="29">
        <v>2023</v>
      </c>
      <c r="F251" s="26">
        <v>0</v>
      </c>
      <c r="G251" s="26">
        <v>0</v>
      </c>
      <c r="H251" s="26">
        <v>0</v>
      </c>
      <c r="I251" s="26">
        <v>295</v>
      </c>
      <c r="J251" s="26">
        <v>756</v>
      </c>
      <c r="K251" s="26"/>
      <c r="L251" s="26"/>
      <c r="M251" s="26"/>
      <c r="N251" s="26"/>
      <c r="O251" s="26"/>
      <c r="P251" s="26"/>
      <c r="Q251" s="26"/>
      <c r="R251" s="18">
        <f t="shared" si="3"/>
        <v>1051</v>
      </c>
    </row>
    <row r="252" spans="1:18" s="2" customFormat="1" ht="15">
      <c r="A252" s="4" t="s">
        <v>492</v>
      </c>
      <c r="B252" s="3" t="s">
        <v>499</v>
      </c>
      <c r="C252" s="4" t="s">
        <v>500</v>
      </c>
      <c r="D252" s="4">
        <v>19.02</v>
      </c>
      <c r="E252" s="29">
        <v>2023</v>
      </c>
      <c r="F252" s="26">
        <v>0</v>
      </c>
      <c r="G252" s="26">
        <v>0</v>
      </c>
      <c r="H252" s="26">
        <v>0</v>
      </c>
      <c r="I252" s="26">
        <v>1</v>
      </c>
      <c r="J252" s="26">
        <v>358</v>
      </c>
      <c r="K252" s="26"/>
      <c r="L252" s="26"/>
      <c r="M252" s="26"/>
      <c r="N252" s="26"/>
      <c r="O252" s="26"/>
      <c r="P252" s="26"/>
      <c r="Q252" s="26"/>
      <c r="R252" s="18">
        <f t="shared" si="3"/>
        <v>359</v>
      </c>
    </row>
    <row r="253" spans="1:18" s="2" customFormat="1" ht="15">
      <c r="A253" s="4" t="s">
        <v>492</v>
      </c>
      <c r="B253" s="3" t="s">
        <v>501</v>
      </c>
      <c r="C253" s="4" t="s">
        <v>502</v>
      </c>
      <c r="D253" s="4">
        <v>18.45</v>
      </c>
      <c r="E253" s="29">
        <v>2023</v>
      </c>
      <c r="F253" s="26">
        <v>0</v>
      </c>
      <c r="G253" s="26">
        <v>0</v>
      </c>
      <c r="H253" s="26">
        <v>0</v>
      </c>
      <c r="I253" s="26">
        <v>0</v>
      </c>
      <c r="J253" s="26">
        <v>135</v>
      </c>
      <c r="K253" s="26"/>
      <c r="L253" s="26"/>
      <c r="M253" s="26"/>
      <c r="N253" s="26"/>
      <c r="O253" s="26"/>
      <c r="P253" s="26"/>
      <c r="Q253" s="26"/>
      <c r="R253" s="18">
        <f t="shared" si="3"/>
        <v>135</v>
      </c>
    </row>
    <row r="254" spans="1:18" s="2" customFormat="1" ht="15">
      <c r="A254" s="4" t="s">
        <v>492</v>
      </c>
      <c r="B254" s="3" t="s">
        <v>503</v>
      </c>
      <c r="C254" s="4" t="s">
        <v>504</v>
      </c>
      <c r="D254" s="4">
        <v>18.8</v>
      </c>
      <c r="E254" s="29">
        <v>2023</v>
      </c>
      <c r="F254" s="26">
        <v>0</v>
      </c>
      <c r="G254" s="26">
        <v>0</v>
      </c>
      <c r="H254" s="26">
        <v>0</v>
      </c>
      <c r="I254" s="26">
        <v>0</v>
      </c>
      <c r="J254" s="26">
        <v>41</v>
      </c>
      <c r="K254" s="26"/>
      <c r="L254" s="26"/>
      <c r="M254" s="26"/>
      <c r="N254" s="26"/>
      <c r="O254" s="26"/>
      <c r="P254" s="26"/>
      <c r="Q254" s="26"/>
      <c r="R254" s="18">
        <f t="shared" si="3"/>
        <v>41</v>
      </c>
    </row>
    <row r="255" spans="1:18" s="2" customFormat="1" ht="15">
      <c r="A255" s="4" t="s">
        <v>492</v>
      </c>
      <c r="B255" s="3" t="s">
        <v>505</v>
      </c>
      <c r="C255" s="4" t="s">
        <v>506</v>
      </c>
      <c r="D255" s="4">
        <v>19.600000000000001</v>
      </c>
      <c r="E255" s="29">
        <v>2023</v>
      </c>
      <c r="F255" s="26">
        <v>0</v>
      </c>
      <c r="G255" s="26">
        <v>0</v>
      </c>
      <c r="H255" s="26">
        <v>0</v>
      </c>
      <c r="I255" s="26">
        <v>0</v>
      </c>
      <c r="J255" s="26">
        <v>0</v>
      </c>
      <c r="K255" s="26"/>
      <c r="L255" s="26"/>
      <c r="M255" s="26"/>
      <c r="N255" s="26"/>
      <c r="O255" s="26"/>
      <c r="P255" s="26"/>
      <c r="Q255" s="26"/>
      <c r="R255" s="18">
        <f t="shared" si="3"/>
        <v>0</v>
      </c>
    </row>
    <row r="256" spans="1:18" s="2" customFormat="1" ht="15">
      <c r="A256" s="4" t="s">
        <v>492</v>
      </c>
      <c r="B256" s="3" t="s">
        <v>507</v>
      </c>
      <c r="C256" s="4" t="s">
        <v>508</v>
      </c>
      <c r="D256" s="4">
        <v>19.34</v>
      </c>
      <c r="E256" s="29">
        <v>2023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/>
      <c r="L256" s="26"/>
      <c r="M256" s="26"/>
      <c r="N256" s="26"/>
      <c r="O256" s="26"/>
      <c r="P256" s="26"/>
      <c r="Q256" s="26"/>
      <c r="R256" s="18">
        <f t="shared" si="3"/>
        <v>0</v>
      </c>
    </row>
    <row r="257" spans="1:18" s="2" customFormat="1" ht="15">
      <c r="A257" s="4" t="s">
        <v>492</v>
      </c>
      <c r="B257" s="3" t="s">
        <v>509</v>
      </c>
      <c r="C257" s="4" t="s">
        <v>510</v>
      </c>
      <c r="D257" s="4">
        <v>17.34</v>
      </c>
      <c r="E257" s="29">
        <v>2023</v>
      </c>
      <c r="F257" s="26">
        <v>0</v>
      </c>
      <c r="G257" s="26">
        <v>0</v>
      </c>
      <c r="H257" s="26">
        <v>0</v>
      </c>
      <c r="I257" s="26">
        <v>0</v>
      </c>
      <c r="J257" s="26">
        <v>0</v>
      </c>
      <c r="K257" s="26"/>
      <c r="L257" s="26"/>
      <c r="M257" s="26"/>
      <c r="N257" s="26"/>
      <c r="O257" s="26"/>
      <c r="P257" s="26"/>
      <c r="Q257" s="26"/>
      <c r="R257" s="18">
        <f t="shared" si="3"/>
        <v>0</v>
      </c>
    </row>
    <row r="258" spans="1:18" s="2" customFormat="1" ht="15">
      <c r="A258" s="4" t="s">
        <v>492</v>
      </c>
      <c r="B258" s="3" t="s">
        <v>511</v>
      </c>
      <c r="C258" s="4" t="s">
        <v>512</v>
      </c>
      <c r="D258" s="4">
        <v>13.29</v>
      </c>
      <c r="E258" s="29">
        <v>2023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/>
      <c r="L258" s="26"/>
      <c r="M258" s="26"/>
      <c r="N258" s="26"/>
      <c r="O258" s="26"/>
      <c r="P258" s="26"/>
      <c r="Q258" s="26"/>
      <c r="R258" s="18">
        <f t="shared" si="3"/>
        <v>0</v>
      </c>
    </row>
    <row r="259" spans="1:18" s="2" customFormat="1" ht="15">
      <c r="A259" s="4" t="s">
        <v>492</v>
      </c>
      <c r="B259" s="3" t="s">
        <v>513</v>
      </c>
      <c r="C259" s="4" t="s">
        <v>514</v>
      </c>
      <c r="D259" s="4">
        <v>10.130000000000001</v>
      </c>
      <c r="E259" s="29">
        <v>2023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/>
      <c r="L259" s="26"/>
      <c r="M259" s="26"/>
      <c r="N259" s="26"/>
      <c r="O259" s="26"/>
      <c r="P259" s="26"/>
      <c r="Q259" s="26"/>
      <c r="R259" s="18">
        <f t="shared" ref="R259:R284" si="4">SUM(F259:Q259)</f>
        <v>0</v>
      </c>
    </row>
    <row r="260" spans="1:18" s="2" customFormat="1" ht="15">
      <c r="A260" s="4" t="s">
        <v>492</v>
      </c>
      <c r="B260" s="3" t="s">
        <v>515</v>
      </c>
      <c r="C260" s="4" t="s">
        <v>516</v>
      </c>
      <c r="D260" s="4">
        <v>7.46</v>
      </c>
      <c r="E260" s="29">
        <v>2023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/>
      <c r="L260" s="26"/>
      <c r="M260" s="26"/>
      <c r="N260" s="26"/>
      <c r="O260" s="26"/>
      <c r="P260" s="26"/>
      <c r="Q260" s="26"/>
      <c r="R260" s="18">
        <f t="shared" si="4"/>
        <v>0</v>
      </c>
    </row>
    <row r="261" spans="1:18" s="2" customFormat="1" ht="15">
      <c r="A261" s="4" t="s">
        <v>492</v>
      </c>
      <c r="B261" s="3" t="s">
        <v>517</v>
      </c>
      <c r="C261" s="4" t="s">
        <v>518</v>
      </c>
      <c r="D261" s="4">
        <v>1.33</v>
      </c>
      <c r="E261" s="29">
        <v>2024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/>
      <c r="L261" s="26"/>
      <c r="M261" s="26"/>
      <c r="N261" s="26"/>
      <c r="O261" s="26"/>
      <c r="P261" s="26"/>
      <c r="Q261" s="26"/>
      <c r="R261" s="18">
        <f t="shared" si="4"/>
        <v>0</v>
      </c>
    </row>
    <row r="262" spans="1:18" s="2" customFormat="1" ht="15">
      <c r="A262" s="4" t="s">
        <v>492</v>
      </c>
      <c r="B262" s="3" t="s">
        <v>519</v>
      </c>
      <c r="C262" s="4" t="s">
        <v>520</v>
      </c>
      <c r="D262" s="4">
        <v>9.07</v>
      </c>
      <c r="E262" s="29">
        <v>2023</v>
      </c>
      <c r="F262" s="26">
        <v>0</v>
      </c>
      <c r="G262" s="26">
        <v>0</v>
      </c>
      <c r="H262" s="26">
        <v>0</v>
      </c>
      <c r="I262" s="26">
        <v>2</v>
      </c>
      <c r="J262" s="26">
        <v>293</v>
      </c>
      <c r="K262" s="26"/>
      <c r="L262" s="26"/>
      <c r="M262" s="26"/>
      <c r="N262" s="26"/>
      <c r="O262" s="26"/>
      <c r="P262" s="26"/>
      <c r="Q262" s="26"/>
      <c r="R262" s="18">
        <f t="shared" si="4"/>
        <v>295</v>
      </c>
    </row>
    <row r="263" spans="1:18" s="2" customFormat="1" ht="15">
      <c r="A263" s="4" t="s">
        <v>492</v>
      </c>
      <c r="B263" s="3" t="s">
        <v>521</v>
      </c>
      <c r="C263" s="4" t="s">
        <v>522</v>
      </c>
      <c r="D263" s="4">
        <v>0.5</v>
      </c>
      <c r="E263" s="29">
        <v>2022</v>
      </c>
      <c r="F263" s="26">
        <v>68</v>
      </c>
      <c r="G263" s="26">
        <v>0</v>
      </c>
      <c r="H263" s="26">
        <v>0</v>
      </c>
      <c r="I263" s="26">
        <v>57</v>
      </c>
      <c r="J263" s="26">
        <v>14</v>
      </c>
      <c r="K263" s="26"/>
      <c r="L263" s="26"/>
      <c r="M263" s="26"/>
      <c r="N263" s="26"/>
      <c r="O263" s="26"/>
      <c r="P263" s="26"/>
      <c r="Q263" s="26"/>
      <c r="R263" s="18">
        <f t="shared" si="4"/>
        <v>139</v>
      </c>
    </row>
    <row r="264" spans="1:18" s="2" customFormat="1" ht="15">
      <c r="A264" s="4" t="s">
        <v>492</v>
      </c>
      <c r="B264" s="3" t="s">
        <v>523</v>
      </c>
      <c r="C264" s="4" t="s">
        <v>524</v>
      </c>
      <c r="D264" s="4">
        <v>2.0299999999999998</v>
      </c>
      <c r="E264" s="29">
        <v>2022</v>
      </c>
      <c r="F264" s="26">
        <v>209</v>
      </c>
      <c r="G264" s="26">
        <v>0</v>
      </c>
      <c r="H264" s="26">
        <v>0</v>
      </c>
      <c r="I264" s="26">
        <v>250</v>
      </c>
      <c r="J264" s="26">
        <v>93</v>
      </c>
      <c r="K264" s="26"/>
      <c r="L264" s="26"/>
      <c r="M264" s="26"/>
      <c r="N264" s="26"/>
      <c r="O264" s="26"/>
      <c r="P264" s="26"/>
      <c r="Q264" s="26"/>
      <c r="R264" s="18">
        <f t="shared" si="4"/>
        <v>552</v>
      </c>
    </row>
    <row r="265" spans="1:18" s="2" customFormat="1" ht="15">
      <c r="A265" s="4" t="s">
        <v>492</v>
      </c>
      <c r="B265" s="3" t="s">
        <v>525</v>
      </c>
      <c r="C265" s="4" t="s">
        <v>526</v>
      </c>
      <c r="D265" s="4">
        <v>5.58</v>
      </c>
      <c r="E265" s="29">
        <v>2022</v>
      </c>
      <c r="F265" s="26">
        <v>581</v>
      </c>
      <c r="G265" s="26">
        <v>0</v>
      </c>
      <c r="H265" s="26">
        <v>0</v>
      </c>
      <c r="I265" s="26">
        <v>391</v>
      </c>
      <c r="J265" s="26">
        <v>205</v>
      </c>
      <c r="K265" s="26"/>
      <c r="L265" s="26"/>
      <c r="M265" s="26"/>
      <c r="N265" s="26"/>
      <c r="O265" s="26"/>
      <c r="P265" s="26"/>
      <c r="Q265" s="26"/>
      <c r="R265" s="18">
        <f t="shared" si="4"/>
        <v>1177</v>
      </c>
    </row>
    <row r="266" spans="1:18" s="2" customFormat="1" ht="15">
      <c r="A266" s="4" t="s">
        <v>492</v>
      </c>
      <c r="B266" s="3" t="s">
        <v>527</v>
      </c>
      <c r="C266" s="4" t="s">
        <v>528</v>
      </c>
      <c r="D266" s="4">
        <v>16.440000000000001</v>
      </c>
      <c r="E266" s="29">
        <v>2023</v>
      </c>
      <c r="F266" s="26">
        <v>1989</v>
      </c>
      <c r="G266" s="26">
        <v>0</v>
      </c>
      <c r="H266" s="26">
        <v>0</v>
      </c>
      <c r="I266" s="26">
        <v>973</v>
      </c>
      <c r="J266" s="26">
        <v>910</v>
      </c>
      <c r="K266" s="26"/>
      <c r="L266" s="26"/>
      <c r="M266" s="26"/>
      <c r="N266" s="26"/>
      <c r="O266" s="26"/>
      <c r="P266" s="26"/>
      <c r="Q266" s="26"/>
      <c r="R266" s="18">
        <f t="shared" si="4"/>
        <v>3872</v>
      </c>
    </row>
    <row r="267" spans="1:18" s="2" customFormat="1" ht="15">
      <c r="A267" s="4" t="s">
        <v>492</v>
      </c>
      <c r="B267" s="3" t="s">
        <v>529</v>
      </c>
      <c r="C267" s="4" t="s">
        <v>530</v>
      </c>
      <c r="D267" s="4">
        <v>19.12</v>
      </c>
      <c r="E267" s="29">
        <v>2023</v>
      </c>
      <c r="F267" s="26">
        <v>866</v>
      </c>
      <c r="G267" s="26">
        <v>0</v>
      </c>
      <c r="H267" s="26">
        <v>0</v>
      </c>
      <c r="I267" s="26">
        <v>732</v>
      </c>
      <c r="J267" s="26">
        <v>711</v>
      </c>
      <c r="K267" s="26"/>
      <c r="L267" s="26"/>
      <c r="M267" s="26"/>
      <c r="N267" s="26"/>
      <c r="O267" s="26"/>
      <c r="P267" s="26"/>
      <c r="Q267" s="26"/>
      <c r="R267" s="18">
        <f t="shared" si="4"/>
        <v>2309</v>
      </c>
    </row>
    <row r="268" spans="1:18" s="2" customFormat="1" ht="15">
      <c r="A268" s="4" t="s">
        <v>492</v>
      </c>
      <c r="B268" s="3" t="s">
        <v>531</v>
      </c>
      <c r="C268" s="4" t="s">
        <v>532</v>
      </c>
      <c r="D268" s="4">
        <v>18.53</v>
      </c>
      <c r="E268" s="29">
        <v>2022</v>
      </c>
      <c r="F268" s="26">
        <v>731</v>
      </c>
      <c r="G268" s="26">
        <v>0</v>
      </c>
      <c r="H268" s="26">
        <v>0</v>
      </c>
      <c r="I268" s="26">
        <v>1045</v>
      </c>
      <c r="J268" s="26">
        <v>846</v>
      </c>
      <c r="K268" s="26"/>
      <c r="L268" s="26"/>
      <c r="M268" s="26"/>
      <c r="N268" s="26"/>
      <c r="O268" s="26"/>
      <c r="P268" s="26"/>
      <c r="Q268" s="26"/>
      <c r="R268" s="18">
        <f t="shared" si="4"/>
        <v>2622</v>
      </c>
    </row>
    <row r="269" spans="1:18" s="2" customFormat="1" ht="15">
      <c r="A269" s="4" t="s">
        <v>492</v>
      </c>
      <c r="B269" s="3" t="s">
        <v>533</v>
      </c>
      <c r="C269" s="4" t="s">
        <v>534</v>
      </c>
      <c r="D269" s="4">
        <v>18.170000000000002</v>
      </c>
      <c r="E269" s="29">
        <v>2022</v>
      </c>
      <c r="F269" s="26">
        <v>1604</v>
      </c>
      <c r="G269" s="26">
        <v>0</v>
      </c>
      <c r="H269" s="26">
        <v>0</v>
      </c>
      <c r="I269" s="26">
        <v>927</v>
      </c>
      <c r="J269" s="26">
        <v>1199</v>
      </c>
      <c r="K269" s="26"/>
      <c r="L269" s="26"/>
      <c r="M269" s="26"/>
      <c r="N269" s="26"/>
      <c r="O269" s="26"/>
      <c r="P269" s="26"/>
      <c r="Q269" s="26"/>
      <c r="R269" s="18">
        <f t="shared" si="4"/>
        <v>3730</v>
      </c>
    </row>
    <row r="270" spans="1:18" s="2" customFormat="1" ht="15">
      <c r="A270" s="4" t="s">
        <v>492</v>
      </c>
      <c r="B270" s="3" t="s">
        <v>535</v>
      </c>
      <c r="C270" s="4" t="s">
        <v>536</v>
      </c>
      <c r="D270" s="4">
        <v>19.91</v>
      </c>
      <c r="E270" s="29">
        <v>2023</v>
      </c>
      <c r="F270" s="26">
        <v>2</v>
      </c>
      <c r="G270" s="26">
        <v>0</v>
      </c>
      <c r="H270" s="26">
        <v>0</v>
      </c>
      <c r="I270" s="26">
        <v>249</v>
      </c>
      <c r="J270" s="26">
        <v>527</v>
      </c>
      <c r="K270" s="26"/>
      <c r="L270" s="26"/>
      <c r="M270" s="26"/>
      <c r="N270" s="26"/>
      <c r="O270" s="26"/>
      <c r="P270" s="26"/>
      <c r="Q270" s="26"/>
      <c r="R270" s="18">
        <f t="shared" si="4"/>
        <v>778</v>
      </c>
    </row>
    <row r="271" spans="1:18" s="2" customFormat="1" ht="15">
      <c r="A271" s="4" t="s">
        <v>492</v>
      </c>
      <c r="B271" s="3" t="s">
        <v>537</v>
      </c>
      <c r="C271" s="4" t="s">
        <v>538</v>
      </c>
      <c r="D271" s="4">
        <v>18.739999999999998</v>
      </c>
      <c r="E271" s="29">
        <v>2023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/>
      <c r="L271" s="26"/>
      <c r="M271" s="26"/>
      <c r="N271" s="26"/>
      <c r="O271" s="26"/>
      <c r="P271" s="26"/>
      <c r="Q271" s="26"/>
      <c r="R271" s="18">
        <f t="shared" si="4"/>
        <v>0</v>
      </c>
    </row>
    <row r="272" spans="1:18" s="2" customFormat="1" ht="15">
      <c r="A272" s="4" t="s">
        <v>492</v>
      </c>
      <c r="B272" s="3" t="s">
        <v>539</v>
      </c>
      <c r="C272" s="4" t="s">
        <v>540</v>
      </c>
      <c r="D272" s="4">
        <v>18.75</v>
      </c>
      <c r="E272" s="29">
        <v>2023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/>
      <c r="L272" s="26"/>
      <c r="M272" s="26"/>
      <c r="N272" s="26"/>
      <c r="O272" s="26"/>
      <c r="P272" s="26"/>
      <c r="Q272" s="26"/>
      <c r="R272" s="18">
        <f t="shared" si="4"/>
        <v>0</v>
      </c>
    </row>
    <row r="273" spans="1:18" s="2" customFormat="1" ht="15">
      <c r="A273" s="4" t="s">
        <v>492</v>
      </c>
      <c r="B273" s="3" t="s">
        <v>541</v>
      </c>
      <c r="C273" s="4" t="s">
        <v>542</v>
      </c>
      <c r="D273" s="4">
        <v>18.7</v>
      </c>
      <c r="E273" s="29">
        <v>2023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/>
      <c r="L273" s="26"/>
      <c r="M273" s="26"/>
      <c r="N273" s="26"/>
      <c r="O273" s="26"/>
      <c r="P273" s="26"/>
      <c r="Q273" s="26"/>
      <c r="R273" s="18">
        <f t="shared" si="4"/>
        <v>0</v>
      </c>
    </row>
    <row r="274" spans="1:18" s="2" customFormat="1" ht="15">
      <c r="A274" s="4" t="s">
        <v>492</v>
      </c>
      <c r="B274" s="3" t="s">
        <v>543</v>
      </c>
      <c r="C274" s="4" t="s">
        <v>544</v>
      </c>
      <c r="D274" s="4">
        <v>9.2200000000000006</v>
      </c>
      <c r="E274" s="29">
        <v>2024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/>
      <c r="L274" s="26"/>
      <c r="M274" s="26"/>
      <c r="N274" s="26"/>
      <c r="O274" s="26"/>
      <c r="P274" s="26"/>
      <c r="Q274" s="26"/>
      <c r="R274" s="18">
        <f t="shared" si="4"/>
        <v>0</v>
      </c>
    </row>
    <row r="275" spans="1:18" s="2" customFormat="1" ht="15">
      <c r="A275" s="4" t="s">
        <v>492</v>
      </c>
      <c r="B275" s="3" t="s">
        <v>545</v>
      </c>
      <c r="C275" s="4" t="s">
        <v>546</v>
      </c>
      <c r="D275" s="4">
        <v>4.41</v>
      </c>
      <c r="E275" s="29">
        <v>2024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/>
      <c r="L275" s="26"/>
      <c r="M275" s="26"/>
      <c r="N275" s="26"/>
      <c r="O275" s="26"/>
      <c r="P275" s="26"/>
      <c r="Q275" s="26"/>
      <c r="R275" s="18">
        <f t="shared" si="4"/>
        <v>0</v>
      </c>
    </row>
    <row r="276" spans="1:18" s="2" customFormat="1" ht="15">
      <c r="A276" s="4" t="s">
        <v>492</v>
      </c>
      <c r="B276" s="3" t="s">
        <v>547</v>
      </c>
      <c r="C276" s="4" t="s">
        <v>548</v>
      </c>
      <c r="D276" s="4">
        <v>2.62</v>
      </c>
      <c r="E276" s="29">
        <v>2024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/>
      <c r="L276" s="26"/>
      <c r="M276" s="26"/>
      <c r="N276" s="26"/>
      <c r="O276" s="26"/>
      <c r="P276" s="26"/>
      <c r="Q276" s="26"/>
      <c r="R276" s="18">
        <f t="shared" si="4"/>
        <v>0</v>
      </c>
    </row>
    <row r="277" spans="1:18" s="2" customFormat="1" ht="15">
      <c r="A277" s="4" t="s">
        <v>492</v>
      </c>
      <c r="B277" s="3" t="s">
        <v>549</v>
      </c>
      <c r="C277" s="4" t="s">
        <v>550</v>
      </c>
      <c r="D277" s="4">
        <v>3.51</v>
      </c>
      <c r="E277" s="29">
        <v>2024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26"/>
      <c r="L277" s="26"/>
      <c r="M277" s="26"/>
      <c r="N277" s="26"/>
      <c r="O277" s="26"/>
      <c r="P277" s="26"/>
      <c r="Q277" s="26"/>
      <c r="R277" s="18">
        <f t="shared" si="4"/>
        <v>0</v>
      </c>
    </row>
    <row r="278" spans="1:18" s="2" customFormat="1" ht="15">
      <c r="A278" s="4" t="s">
        <v>492</v>
      </c>
      <c r="B278" s="3" t="s">
        <v>551</v>
      </c>
      <c r="C278" s="4" t="s">
        <v>552</v>
      </c>
      <c r="D278" s="4">
        <v>3.19</v>
      </c>
      <c r="E278" s="29">
        <v>2024</v>
      </c>
      <c r="F278" s="26">
        <v>0</v>
      </c>
      <c r="G278" s="26">
        <v>0</v>
      </c>
      <c r="H278" s="26">
        <v>0</v>
      </c>
      <c r="I278" s="26">
        <v>0</v>
      </c>
      <c r="J278" s="26">
        <v>0</v>
      </c>
      <c r="K278" s="26"/>
      <c r="L278" s="26"/>
      <c r="M278" s="26"/>
      <c r="N278" s="26"/>
      <c r="O278" s="26"/>
      <c r="P278" s="26"/>
      <c r="Q278" s="26"/>
      <c r="R278" s="18">
        <f t="shared" si="4"/>
        <v>0</v>
      </c>
    </row>
    <row r="279" spans="1:18" s="2" customFormat="1" ht="15">
      <c r="A279" s="4" t="s">
        <v>492</v>
      </c>
      <c r="B279" s="3" t="s">
        <v>553</v>
      </c>
      <c r="C279" s="4" t="s">
        <v>554</v>
      </c>
      <c r="D279" s="4">
        <v>4.62</v>
      </c>
      <c r="E279" s="29">
        <v>2024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26"/>
      <c r="L279" s="26"/>
      <c r="M279" s="26"/>
      <c r="N279" s="26"/>
      <c r="O279" s="26"/>
      <c r="P279" s="26"/>
      <c r="Q279" s="26"/>
      <c r="R279" s="18">
        <f t="shared" si="4"/>
        <v>0</v>
      </c>
    </row>
    <row r="280" spans="1:18" s="2" customFormat="1" ht="15">
      <c r="A280" s="4" t="s">
        <v>492</v>
      </c>
      <c r="B280" s="3" t="s">
        <v>555</v>
      </c>
      <c r="C280" s="4" t="s">
        <v>556</v>
      </c>
      <c r="D280" s="4">
        <v>4.41</v>
      </c>
      <c r="E280" s="29">
        <v>2024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/>
      <c r="L280" s="26"/>
      <c r="M280" s="26"/>
      <c r="N280" s="26"/>
      <c r="O280" s="26"/>
      <c r="P280" s="26"/>
      <c r="Q280" s="26"/>
      <c r="R280" s="18">
        <f t="shared" si="4"/>
        <v>0</v>
      </c>
    </row>
    <row r="281" spans="1:18" s="2" customFormat="1" ht="15">
      <c r="A281" s="4" t="s">
        <v>492</v>
      </c>
      <c r="B281" s="3" t="s">
        <v>557</v>
      </c>
      <c r="C281" s="4" t="s">
        <v>558</v>
      </c>
      <c r="D281" s="4">
        <v>1.91</v>
      </c>
      <c r="E281" s="29">
        <v>2024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/>
      <c r="L281" s="26"/>
      <c r="M281" s="26"/>
      <c r="N281" s="26"/>
      <c r="O281" s="26"/>
      <c r="P281" s="26"/>
      <c r="Q281" s="26"/>
      <c r="R281" s="18">
        <f t="shared" si="4"/>
        <v>0</v>
      </c>
    </row>
    <row r="282" spans="1:18" s="2" customFormat="1" ht="15">
      <c r="A282" s="4" t="s">
        <v>492</v>
      </c>
      <c r="B282" s="3" t="s">
        <v>559</v>
      </c>
      <c r="C282" s="4" t="s">
        <v>560</v>
      </c>
      <c r="D282" s="4">
        <v>3.6</v>
      </c>
      <c r="E282" s="29">
        <v>2024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/>
      <c r="L282" s="26"/>
      <c r="M282" s="26"/>
      <c r="N282" s="26"/>
      <c r="O282" s="26"/>
      <c r="P282" s="26"/>
      <c r="Q282" s="26"/>
      <c r="R282" s="18">
        <f t="shared" si="4"/>
        <v>0</v>
      </c>
    </row>
    <row r="283" spans="1:18" s="2" customFormat="1" ht="15">
      <c r="A283" s="4" t="s">
        <v>492</v>
      </c>
      <c r="B283" s="3" t="s">
        <v>561</v>
      </c>
      <c r="C283" s="4" t="s">
        <v>562</v>
      </c>
      <c r="D283" s="4">
        <v>0.86</v>
      </c>
      <c r="E283" s="29">
        <v>2024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/>
      <c r="L283" s="26"/>
      <c r="M283" s="26"/>
      <c r="N283" s="26"/>
      <c r="O283" s="26"/>
      <c r="P283" s="26"/>
      <c r="Q283" s="26"/>
      <c r="R283" s="18">
        <f t="shared" si="4"/>
        <v>0</v>
      </c>
    </row>
    <row r="284" spans="1:18" s="2" customFormat="1" ht="15">
      <c r="A284" s="4" t="s">
        <v>492</v>
      </c>
      <c r="B284" s="3" t="s">
        <v>563</v>
      </c>
      <c r="C284" s="4" t="s">
        <v>564</v>
      </c>
      <c r="D284" s="4">
        <v>5.05</v>
      </c>
      <c r="E284" s="29">
        <v>2023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/>
      <c r="L284" s="26"/>
      <c r="M284" s="26"/>
      <c r="N284" s="26"/>
      <c r="O284" s="26"/>
      <c r="P284" s="26"/>
      <c r="Q284" s="26"/>
      <c r="R284" s="18">
        <f t="shared" si="4"/>
        <v>0</v>
      </c>
    </row>
    <row r="287" spans="1:18">
      <c r="E287" s="16"/>
    </row>
    <row r="288" spans="1:18">
      <c r="E288" s="16"/>
    </row>
    <row r="289" spans="5:5">
      <c r="E289" s="16"/>
    </row>
  </sheetData>
  <printOptions horizontalCentered="1"/>
  <pageMargins left="0" right="0" top="3.9370078740157501E-2" bottom="0" header="0.118110236220472" footer="0.118110236220472"/>
  <pageSetup paperSize="1000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708E-FE2E-4658-A742-EC571ED1DDDE}">
  <dimension ref="A1:Q289"/>
  <sheetViews>
    <sheetView showGridLines="0" tabSelected="1" zoomScale="85" zoomScaleNormal="85" zoomScaleSheetLayoutView="85" workbookViewId="0">
      <pane xSplit="5" ySplit="2" topLeftCell="F3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RowHeight="13.5"/>
  <cols>
    <col min="1" max="1" width="5.85546875" style="1" customWidth="1"/>
    <col min="2" max="2" width="7.42578125" style="11" customWidth="1"/>
    <col min="3" max="4" width="10" style="1" customWidth="1"/>
    <col min="5" max="5" width="10.28515625" style="12" customWidth="1"/>
    <col min="6" max="7" width="9.140625" style="13" customWidth="1"/>
    <col min="8" max="17" width="9.140625" style="1" customWidth="1"/>
    <col min="18" max="16384" width="9.140625" style="1"/>
  </cols>
  <sheetData>
    <row r="1" spans="1:17" s="2" customFormat="1" ht="4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4">
        <v>45901</v>
      </c>
      <c r="G1" s="24">
        <v>45931</v>
      </c>
      <c r="H1" s="24">
        <v>45962</v>
      </c>
      <c r="I1" s="24">
        <v>45992</v>
      </c>
      <c r="J1" s="24">
        <v>46023</v>
      </c>
      <c r="K1" s="24">
        <v>46054</v>
      </c>
      <c r="L1" s="24">
        <v>46082</v>
      </c>
      <c r="M1" s="24">
        <v>46113</v>
      </c>
      <c r="N1" s="24">
        <v>46143</v>
      </c>
      <c r="O1" s="24">
        <v>46174</v>
      </c>
      <c r="P1" s="24">
        <v>46204</v>
      </c>
      <c r="Q1" s="24">
        <v>46235</v>
      </c>
    </row>
    <row r="2" spans="1:17" s="2" customFormat="1" ht="20.100000000000001" customHeight="1">
      <c r="A2" s="4" t="s">
        <v>6</v>
      </c>
      <c r="B2" s="3" t="s">
        <v>7</v>
      </c>
      <c r="C2" s="4" t="s">
        <v>8</v>
      </c>
      <c r="D2" s="4">
        <v>6.29</v>
      </c>
      <c r="E2" s="28">
        <v>2008</v>
      </c>
      <c r="F2" s="25">
        <v>16.700336700336699</v>
      </c>
      <c r="G2" s="25">
        <v>16.879052369077307</v>
      </c>
      <c r="H2" s="25">
        <v>17.342604298356513</v>
      </c>
      <c r="I2" s="25">
        <v>16.411231884057973</v>
      </c>
      <c r="J2" s="25">
        <v>13.971119133574007</v>
      </c>
      <c r="K2" s="25"/>
      <c r="L2" s="25"/>
      <c r="M2" s="25"/>
      <c r="N2" s="25"/>
      <c r="O2" s="25"/>
      <c r="P2" s="25"/>
      <c r="Q2" s="25"/>
    </row>
    <row r="3" spans="1:17" s="2" customFormat="1" ht="20.100000000000001" customHeight="1">
      <c r="A3" s="8" t="s">
        <v>6</v>
      </c>
      <c r="B3" s="7" t="s">
        <v>9</v>
      </c>
      <c r="C3" s="8" t="s">
        <v>10</v>
      </c>
      <c r="D3" s="4">
        <v>19.149999999999999</v>
      </c>
      <c r="E3" s="28">
        <v>2009</v>
      </c>
      <c r="F3" s="25">
        <v>19.23130677847659</v>
      </c>
      <c r="G3" s="25">
        <v>17.001796622349982</v>
      </c>
      <c r="H3" s="25">
        <v>16.821739130434782</v>
      </c>
      <c r="I3" s="25">
        <v>16.264356435643563</v>
      </c>
      <c r="J3" s="25">
        <v>14.922734026745914</v>
      </c>
      <c r="K3" s="25"/>
      <c r="L3" s="25"/>
      <c r="M3" s="25"/>
      <c r="N3" s="25"/>
      <c r="O3" s="25"/>
      <c r="P3" s="25"/>
      <c r="Q3" s="25"/>
    </row>
    <row r="4" spans="1:17" s="2" customFormat="1" ht="20.100000000000001" customHeight="1">
      <c r="A4" s="8" t="s">
        <v>6</v>
      </c>
      <c r="B4" s="7" t="s">
        <v>11</v>
      </c>
      <c r="C4" s="8" t="s">
        <v>12</v>
      </c>
      <c r="D4" s="4">
        <v>18.46</v>
      </c>
      <c r="E4" s="28">
        <v>2009</v>
      </c>
      <c r="F4" s="25">
        <v>16.133889919604204</v>
      </c>
      <c r="G4" s="25">
        <v>15.11306765523633</v>
      </c>
      <c r="H4" s="25">
        <v>15.519954062589722</v>
      </c>
      <c r="I4" s="25">
        <v>16.152472089314195</v>
      </c>
      <c r="J4" s="25">
        <v>15.037508846426045</v>
      </c>
      <c r="K4" s="25"/>
      <c r="L4" s="25"/>
      <c r="M4" s="25"/>
      <c r="N4" s="25"/>
      <c r="O4" s="25"/>
      <c r="P4" s="25"/>
      <c r="Q4" s="25"/>
    </row>
    <row r="5" spans="1:17" s="2" customFormat="1" ht="20.100000000000001" customHeight="1">
      <c r="A5" s="8" t="s">
        <v>6</v>
      </c>
      <c r="B5" s="7" t="s">
        <v>13</v>
      </c>
      <c r="C5" s="8" t="s">
        <v>14</v>
      </c>
      <c r="D5" s="4">
        <v>19.61</v>
      </c>
      <c r="E5" s="28">
        <v>2009</v>
      </c>
      <c r="F5" s="25">
        <v>16.131632239773186</v>
      </c>
      <c r="G5" s="25">
        <v>17.015378389316066</v>
      </c>
      <c r="H5" s="25">
        <v>16.119546547578153</v>
      </c>
      <c r="I5" s="25">
        <v>15.710649960845732</v>
      </c>
      <c r="J5" s="25">
        <v>13.798568507157464</v>
      </c>
      <c r="K5" s="25"/>
      <c r="L5" s="25"/>
      <c r="M5" s="25"/>
      <c r="N5" s="25"/>
      <c r="O5" s="25"/>
      <c r="P5" s="25"/>
      <c r="Q5" s="25"/>
    </row>
    <row r="6" spans="1:17" s="2" customFormat="1" ht="20.100000000000001" customHeight="1">
      <c r="A6" s="8" t="s">
        <v>6</v>
      </c>
      <c r="B6" s="7" t="s">
        <v>15</v>
      </c>
      <c r="C6" s="8" t="s">
        <v>16</v>
      </c>
      <c r="D6" s="4">
        <v>19.2</v>
      </c>
      <c r="E6" s="28">
        <v>2009</v>
      </c>
      <c r="F6" s="25">
        <v>17.066367713004485</v>
      </c>
      <c r="G6" s="25">
        <v>18.151411462788708</v>
      </c>
      <c r="H6" s="25">
        <v>16.884490238611715</v>
      </c>
      <c r="I6" s="25">
        <v>17.727605727605727</v>
      </c>
      <c r="J6" s="25">
        <v>15.747642817526344</v>
      </c>
      <c r="K6" s="25"/>
      <c r="L6" s="25"/>
      <c r="M6" s="25"/>
      <c r="N6" s="25"/>
      <c r="O6" s="25"/>
      <c r="P6" s="25"/>
      <c r="Q6" s="25"/>
    </row>
    <row r="7" spans="1:17" s="2" customFormat="1" ht="20.100000000000001" customHeight="1">
      <c r="A7" s="8" t="s">
        <v>6</v>
      </c>
      <c r="B7" s="7" t="s">
        <v>17</v>
      </c>
      <c r="C7" s="8" t="s">
        <v>18</v>
      </c>
      <c r="D7" s="4">
        <v>21.32</v>
      </c>
      <c r="E7" s="28">
        <v>2009</v>
      </c>
      <c r="F7" s="25">
        <v>16.127379209370424</v>
      </c>
      <c r="G7" s="25">
        <v>17.170471390453603</v>
      </c>
      <c r="H7" s="25">
        <v>16.274458648578136</v>
      </c>
      <c r="I7" s="25">
        <v>16.511612903225807</v>
      </c>
      <c r="J7" s="25">
        <v>15.041284403669724</v>
      </c>
      <c r="K7" s="25"/>
      <c r="L7" s="25"/>
      <c r="M7" s="25"/>
      <c r="N7" s="25"/>
      <c r="O7" s="25"/>
      <c r="P7" s="25"/>
      <c r="Q7" s="25"/>
    </row>
    <row r="8" spans="1:17" s="2" customFormat="1" ht="20.100000000000001" customHeight="1">
      <c r="A8" s="8" t="s">
        <v>6</v>
      </c>
      <c r="B8" s="7" t="s">
        <v>19</v>
      </c>
      <c r="C8" s="8" t="s">
        <v>20</v>
      </c>
      <c r="D8" s="4">
        <v>4.8899999999999997</v>
      </c>
      <c r="E8" s="28">
        <v>2010</v>
      </c>
      <c r="F8" s="25">
        <v>17.912676056338029</v>
      </c>
      <c r="G8" s="25">
        <v>15.527848101265823</v>
      </c>
      <c r="H8" s="25">
        <v>17.141483516483518</v>
      </c>
      <c r="I8" s="25">
        <v>16.856877323420075</v>
      </c>
      <c r="J8" s="25">
        <v>14.998263888888889</v>
      </c>
      <c r="K8" s="25"/>
      <c r="L8" s="25"/>
      <c r="M8" s="25"/>
      <c r="N8" s="25"/>
      <c r="O8" s="25"/>
      <c r="P8" s="25"/>
      <c r="Q8" s="25"/>
    </row>
    <row r="9" spans="1:17" s="2" customFormat="1" ht="20.100000000000001" customHeight="1">
      <c r="A9" s="10" t="s">
        <v>6</v>
      </c>
      <c r="B9" s="9" t="s">
        <v>21</v>
      </c>
      <c r="C9" s="10" t="s">
        <v>22</v>
      </c>
      <c r="D9" s="4">
        <v>13.87</v>
      </c>
      <c r="E9" s="28">
        <v>2010</v>
      </c>
      <c r="F9" s="25">
        <v>16.023048928427013</v>
      </c>
      <c r="G9" s="25">
        <v>16.863562091503269</v>
      </c>
      <c r="H9" s="25">
        <v>16.744817726947819</v>
      </c>
      <c r="I9" s="25">
        <v>16.076749435665914</v>
      </c>
      <c r="J9" s="25">
        <v>14.168114682884449</v>
      </c>
      <c r="K9" s="25"/>
      <c r="L9" s="25"/>
      <c r="M9" s="25"/>
      <c r="N9" s="25"/>
      <c r="O9" s="25"/>
      <c r="P9" s="25"/>
      <c r="Q9" s="25"/>
    </row>
    <row r="10" spans="1:17" s="2" customFormat="1" ht="20.100000000000001" customHeight="1">
      <c r="A10" s="8" t="s">
        <v>6</v>
      </c>
      <c r="B10" s="7" t="s">
        <v>23</v>
      </c>
      <c r="C10" s="8" t="s">
        <v>24</v>
      </c>
      <c r="D10" s="4">
        <v>6.64</v>
      </c>
      <c r="E10" s="28">
        <v>2010</v>
      </c>
      <c r="F10" s="25">
        <v>17.115909090909092</v>
      </c>
      <c r="G10" s="25">
        <v>16.291066282420751</v>
      </c>
      <c r="H10" s="25">
        <v>17.00190114068441</v>
      </c>
      <c r="I10" s="25">
        <v>16.063636363636363</v>
      </c>
      <c r="J10" s="25">
        <v>15.427109974424553</v>
      </c>
      <c r="K10" s="25"/>
      <c r="L10" s="25"/>
      <c r="M10" s="25"/>
      <c r="N10" s="25"/>
      <c r="O10" s="25"/>
      <c r="P10" s="25"/>
      <c r="Q10" s="25"/>
    </row>
    <row r="11" spans="1:17" s="2" customFormat="1" ht="20.100000000000001" customHeight="1">
      <c r="A11" s="10" t="s">
        <v>6</v>
      </c>
      <c r="B11" s="9" t="s">
        <v>25</v>
      </c>
      <c r="C11" s="10" t="s">
        <v>26</v>
      </c>
      <c r="D11" s="4">
        <v>16.57</v>
      </c>
      <c r="E11" s="28">
        <v>2010</v>
      </c>
      <c r="F11" s="25">
        <v>16.490421455938698</v>
      </c>
      <c r="G11" s="25">
        <v>16.696382900986482</v>
      </c>
      <c r="H11" s="25">
        <v>16.50925925925926</v>
      </c>
      <c r="I11" s="25">
        <v>16.156734693877549</v>
      </c>
      <c r="J11" s="25">
        <v>15.680399500624219</v>
      </c>
      <c r="K11" s="25"/>
      <c r="L11" s="25"/>
      <c r="M11" s="25"/>
      <c r="N11" s="25"/>
      <c r="O11" s="25"/>
      <c r="P11" s="25"/>
      <c r="Q11" s="25"/>
    </row>
    <row r="12" spans="1:17" s="2" customFormat="1" ht="20.100000000000001" customHeight="1">
      <c r="A12" s="10" t="s">
        <v>6</v>
      </c>
      <c r="B12" s="9" t="s">
        <v>27</v>
      </c>
      <c r="C12" s="10" t="s">
        <v>28</v>
      </c>
      <c r="D12" s="4">
        <v>7.92</v>
      </c>
      <c r="E12" s="28">
        <v>2010</v>
      </c>
      <c r="F12" s="25">
        <v>20.202771699489425</v>
      </c>
      <c r="G12" s="25">
        <v>19.389380530973451</v>
      </c>
      <c r="H12" s="25">
        <v>19.744102930664759</v>
      </c>
      <c r="I12" s="25">
        <v>18.700918964076859</v>
      </c>
      <c r="J12" s="25">
        <v>17.170796460176991</v>
      </c>
      <c r="K12" s="25"/>
      <c r="L12" s="25"/>
      <c r="M12" s="25"/>
      <c r="N12" s="25"/>
      <c r="O12" s="25"/>
      <c r="P12" s="25"/>
      <c r="Q12" s="25"/>
    </row>
    <row r="13" spans="1:17" s="2" customFormat="1" ht="20.100000000000001" customHeight="1">
      <c r="A13" s="10" t="s">
        <v>6</v>
      </c>
      <c r="B13" s="9" t="s">
        <v>29</v>
      </c>
      <c r="C13" s="10" t="s">
        <v>30</v>
      </c>
      <c r="D13" s="4">
        <v>17.89</v>
      </c>
      <c r="E13" s="28">
        <v>2010</v>
      </c>
      <c r="F13" s="25">
        <v>16.125458996328028</v>
      </c>
      <c r="G13" s="25">
        <v>16.537543859649123</v>
      </c>
      <c r="H13" s="25">
        <v>16.800276912426444</v>
      </c>
      <c r="I13" s="25">
        <v>16.089259796806967</v>
      </c>
      <c r="J13" s="25">
        <v>15.556145004420866</v>
      </c>
      <c r="K13" s="25"/>
      <c r="L13" s="25"/>
      <c r="M13" s="25"/>
      <c r="N13" s="25"/>
      <c r="O13" s="25"/>
      <c r="P13" s="25"/>
      <c r="Q13" s="25"/>
    </row>
    <row r="14" spans="1:17" s="2" customFormat="1" ht="20.100000000000001" customHeight="1">
      <c r="A14" s="8" t="s">
        <v>6</v>
      </c>
      <c r="B14" s="7" t="s">
        <v>31</v>
      </c>
      <c r="C14" s="8" t="s">
        <v>32</v>
      </c>
      <c r="D14" s="4">
        <v>20.5</v>
      </c>
      <c r="E14" s="28">
        <v>2011</v>
      </c>
      <c r="F14" s="25">
        <v>17.309780587579027</v>
      </c>
      <c r="G14" s="25">
        <v>16.036951501154736</v>
      </c>
      <c r="H14" s="25">
        <v>15.106124924196482</v>
      </c>
      <c r="I14" s="25">
        <v>14.345786013150031</v>
      </c>
      <c r="J14" s="25">
        <v>12.853756157635468</v>
      </c>
      <c r="K14" s="25"/>
      <c r="L14" s="25"/>
      <c r="M14" s="25"/>
      <c r="N14" s="25"/>
      <c r="O14" s="25"/>
      <c r="P14" s="25"/>
      <c r="Q14" s="25"/>
    </row>
    <row r="15" spans="1:17" s="2" customFormat="1" ht="20.100000000000001" customHeight="1">
      <c r="A15" s="8" t="s">
        <v>6</v>
      </c>
      <c r="B15" s="7" t="s">
        <v>33</v>
      </c>
      <c r="C15" s="8" t="s">
        <v>34</v>
      </c>
      <c r="D15" s="4">
        <v>6.87</v>
      </c>
      <c r="E15" s="28">
        <v>2011</v>
      </c>
      <c r="F15" s="25">
        <v>15.65907365223994</v>
      </c>
      <c r="G15" s="25">
        <v>15.541469194312796</v>
      </c>
      <c r="H15" s="25">
        <v>15.318181818181818</v>
      </c>
      <c r="I15" s="25">
        <v>15.596138374899438</v>
      </c>
      <c r="J15" s="25">
        <v>14.272477693891558</v>
      </c>
      <c r="K15" s="25"/>
      <c r="L15" s="25"/>
      <c r="M15" s="25"/>
      <c r="N15" s="25"/>
      <c r="O15" s="25"/>
      <c r="P15" s="25"/>
      <c r="Q15" s="25"/>
    </row>
    <row r="16" spans="1:17" s="2" customFormat="1" ht="20.100000000000001" customHeight="1">
      <c r="A16" s="8" t="s">
        <v>6</v>
      </c>
      <c r="B16" s="7" t="s">
        <v>35</v>
      </c>
      <c r="C16" s="8" t="s">
        <v>36</v>
      </c>
      <c r="D16" s="4">
        <v>9.49</v>
      </c>
      <c r="E16" s="28">
        <v>2011</v>
      </c>
      <c r="F16" s="25">
        <v>15.247122955784373</v>
      </c>
      <c r="G16" s="25">
        <v>17.786363636363635</v>
      </c>
      <c r="H16" s="25">
        <v>16.141767068273094</v>
      </c>
      <c r="I16" s="25">
        <v>15.23641456582633</v>
      </c>
      <c r="J16" s="25">
        <v>13.332227291580256</v>
      </c>
      <c r="K16" s="25"/>
      <c r="L16" s="25"/>
      <c r="M16" s="25"/>
      <c r="N16" s="25"/>
      <c r="O16" s="25"/>
      <c r="P16" s="25"/>
      <c r="Q16" s="25"/>
    </row>
    <row r="17" spans="1:17" s="2" customFormat="1" ht="20.100000000000001" customHeight="1">
      <c r="A17" s="8" t="s">
        <v>6</v>
      </c>
      <c r="B17" s="7" t="s">
        <v>37</v>
      </c>
      <c r="C17" s="8" t="s">
        <v>38</v>
      </c>
      <c r="D17" s="4">
        <v>14.21</v>
      </c>
      <c r="E17" s="28">
        <v>2011</v>
      </c>
      <c r="F17" s="25">
        <v>15.986789431545237</v>
      </c>
      <c r="G17" s="25">
        <v>17.261383385470978</v>
      </c>
      <c r="H17" s="25">
        <v>16.270517676767678</v>
      </c>
      <c r="I17" s="25">
        <v>15.960384153661465</v>
      </c>
      <c r="J17" s="25">
        <v>14.899932840832774</v>
      </c>
      <c r="K17" s="25"/>
      <c r="L17" s="25"/>
      <c r="M17" s="25"/>
      <c r="N17" s="25"/>
      <c r="O17" s="25"/>
      <c r="P17" s="25"/>
      <c r="Q17" s="25"/>
    </row>
    <row r="18" spans="1:17" s="2" customFormat="1" ht="20.100000000000001" customHeight="1">
      <c r="A18" s="8" t="s">
        <v>6</v>
      </c>
      <c r="B18" s="7" t="s">
        <v>39</v>
      </c>
      <c r="C18" s="8" t="s">
        <v>40</v>
      </c>
      <c r="D18" s="4">
        <v>29.23</v>
      </c>
      <c r="E18" s="28">
        <v>2011</v>
      </c>
      <c r="F18" s="25">
        <v>17.018505338078292</v>
      </c>
      <c r="G18" s="25">
        <v>15.132381155403966</v>
      </c>
      <c r="H18" s="25">
        <v>14.748345698816925</v>
      </c>
      <c r="I18" s="25">
        <v>14.197795071335927</v>
      </c>
      <c r="J18" s="25">
        <v>13.316961362148003</v>
      </c>
      <c r="K18" s="25"/>
      <c r="L18" s="25"/>
      <c r="M18" s="25"/>
      <c r="N18" s="25"/>
      <c r="O18" s="25"/>
      <c r="P18" s="25"/>
      <c r="Q18" s="25"/>
    </row>
    <row r="19" spans="1:17" s="2" customFormat="1" ht="20.100000000000001" customHeight="1">
      <c r="A19" s="8" t="s">
        <v>6</v>
      </c>
      <c r="B19" s="7" t="s">
        <v>41</v>
      </c>
      <c r="C19" s="8" t="s">
        <v>42</v>
      </c>
      <c r="D19" s="4">
        <v>2.92</v>
      </c>
      <c r="E19" s="28">
        <v>2011</v>
      </c>
      <c r="F19" s="25">
        <v>19.882474226804124</v>
      </c>
      <c r="G19" s="25">
        <v>17.838709677419356</v>
      </c>
      <c r="H19" s="25">
        <v>18.213389121338913</v>
      </c>
      <c r="I19" s="25">
        <v>17.465596330275229</v>
      </c>
      <c r="J19" s="25">
        <v>15.735655737704919</v>
      </c>
      <c r="K19" s="25"/>
      <c r="L19" s="25"/>
      <c r="M19" s="25"/>
      <c r="N19" s="25"/>
      <c r="O19" s="25"/>
      <c r="P19" s="25"/>
      <c r="Q19" s="25"/>
    </row>
    <row r="20" spans="1:17" s="2" customFormat="1" ht="20.100000000000001" customHeight="1">
      <c r="A20" s="8" t="s">
        <v>6</v>
      </c>
      <c r="B20" s="7" t="s">
        <v>43</v>
      </c>
      <c r="C20" s="8" t="s">
        <v>44</v>
      </c>
      <c r="D20" s="4">
        <v>31.31</v>
      </c>
      <c r="E20" s="28">
        <v>2011</v>
      </c>
      <c r="F20" s="25">
        <v>14.552735476593345</v>
      </c>
      <c r="G20" s="25">
        <v>15.131939799331104</v>
      </c>
      <c r="H20" s="25">
        <v>15.158821121571838</v>
      </c>
      <c r="I20" s="25">
        <v>14.686978297161936</v>
      </c>
      <c r="J20" s="25">
        <v>13.472081218274111</v>
      </c>
      <c r="K20" s="25"/>
      <c r="L20" s="25"/>
      <c r="M20" s="25"/>
      <c r="N20" s="25"/>
      <c r="O20" s="25"/>
      <c r="P20" s="25"/>
      <c r="Q20" s="25"/>
    </row>
    <row r="21" spans="1:17" s="2" customFormat="1" ht="20.100000000000001" customHeight="1">
      <c r="A21" s="4" t="s">
        <v>6</v>
      </c>
      <c r="B21" s="3" t="s">
        <v>45</v>
      </c>
      <c r="C21" s="4" t="s">
        <v>46</v>
      </c>
      <c r="D21" s="4">
        <v>19.39</v>
      </c>
      <c r="E21" s="28">
        <v>2011</v>
      </c>
      <c r="F21" s="25">
        <v>15.945677123182861</v>
      </c>
      <c r="G21" s="25">
        <v>15.357226334242306</v>
      </c>
      <c r="H21" s="25">
        <v>15.533613445378151</v>
      </c>
      <c r="I21" s="25">
        <v>15.007350484463748</v>
      </c>
      <c r="J21" s="25">
        <v>13.937370600414079</v>
      </c>
      <c r="K21" s="25"/>
      <c r="L21" s="25"/>
      <c r="M21" s="25"/>
      <c r="N21" s="25"/>
      <c r="O21" s="25"/>
      <c r="P21" s="25"/>
      <c r="Q21" s="25"/>
    </row>
    <row r="22" spans="1:17" s="2" customFormat="1" ht="20.100000000000001" customHeight="1">
      <c r="A22" s="4" t="s">
        <v>6</v>
      </c>
      <c r="B22" s="3" t="s">
        <v>47</v>
      </c>
      <c r="C22" s="4" t="s">
        <v>48</v>
      </c>
      <c r="D22" s="4">
        <v>19.100000000000001</v>
      </c>
      <c r="E22" s="28">
        <v>2011</v>
      </c>
      <c r="F22" s="25">
        <v>15.282141886382169</v>
      </c>
      <c r="G22" s="25">
        <v>15.147245762711865</v>
      </c>
      <c r="H22" s="25">
        <v>14.34675125793043</v>
      </c>
      <c r="I22" s="25">
        <v>14.123956488742728</v>
      </c>
      <c r="J22" s="25">
        <v>13.603715170278639</v>
      </c>
      <c r="K22" s="25"/>
      <c r="L22" s="25"/>
      <c r="M22" s="25"/>
      <c r="N22" s="25"/>
      <c r="O22" s="25"/>
      <c r="P22" s="25"/>
      <c r="Q22" s="25"/>
    </row>
    <row r="23" spans="1:17" s="2" customFormat="1" ht="20.100000000000001" customHeight="1">
      <c r="A23" s="4" t="s">
        <v>6</v>
      </c>
      <c r="B23" s="3" t="s">
        <v>49</v>
      </c>
      <c r="C23" s="4" t="s">
        <v>50</v>
      </c>
      <c r="D23" s="4">
        <v>18.64</v>
      </c>
      <c r="E23" s="28">
        <v>2011</v>
      </c>
      <c r="F23" s="25">
        <v>13.908473221422861</v>
      </c>
      <c r="G23" s="25">
        <v>14.211330600074543</v>
      </c>
      <c r="H23" s="25">
        <v>13.595195195195195</v>
      </c>
      <c r="I23" s="25">
        <v>13.366955892986262</v>
      </c>
      <c r="J23" s="25">
        <v>12.81824512534819</v>
      </c>
      <c r="K23" s="25"/>
      <c r="L23" s="25"/>
      <c r="M23" s="25"/>
      <c r="N23" s="25"/>
      <c r="O23" s="25"/>
      <c r="P23" s="25"/>
      <c r="Q23" s="25"/>
    </row>
    <row r="24" spans="1:17" s="2" customFormat="1" ht="20.100000000000001" customHeight="1">
      <c r="A24" s="4" t="s">
        <v>6</v>
      </c>
      <c r="B24" s="3" t="s">
        <v>51</v>
      </c>
      <c r="C24" s="4" t="s">
        <v>52</v>
      </c>
      <c r="D24" s="4">
        <v>18.8</v>
      </c>
      <c r="E24" s="28">
        <v>2011</v>
      </c>
      <c r="F24" s="25">
        <v>15.476244773850247</v>
      </c>
      <c r="G24" s="25">
        <v>15.235686687741483</v>
      </c>
      <c r="H24" s="25">
        <v>14.573926380368098</v>
      </c>
      <c r="I24" s="25">
        <v>13.480550774526678</v>
      </c>
      <c r="J24" s="25">
        <v>13.313099870298315</v>
      </c>
      <c r="K24" s="25"/>
      <c r="L24" s="25"/>
      <c r="M24" s="25"/>
      <c r="N24" s="25"/>
      <c r="O24" s="25"/>
      <c r="P24" s="25"/>
      <c r="Q24" s="25"/>
    </row>
    <row r="25" spans="1:17" s="2" customFormat="1" ht="20.100000000000001" customHeight="1">
      <c r="A25" s="4" t="s">
        <v>6</v>
      </c>
      <c r="B25" s="3" t="s">
        <v>53</v>
      </c>
      <c r="C25" s="4" t="s">
        <v>54</v>
      </c>
      <c r="D25" s="4">
        <v>19.239999999999998</v>
      </c>
      <c r="E25" s="28">
        <v>2011</v>
      </c>
      <c r="F25" s="25">
        <v>13.588426527958388</v>
      </c>
      <c r="G25" s="25">
        <v>13.483227561196736</v>
      </c>
      <c r="H25" s="25">
        <v>13.169033440219881</v>
      </c>
      <c r="I25" s="25">
        <v>13.084455001319609</v>
      </c>
      <c r="J25" s="25">
        <v>12.854834506124577</v>
      </c>
      <c r="K25" s="25"/>
      <c r="L25" s="25"/>
      <c r="M25" s="25"/>
      <c r="N25" s="25"/>
      <c r="O25" s="25"/>
      <c r="P25" s="25"/>
      <c r="Q25" s="25"/>
    </row>
    <row r="26" spans="1:17" s="2" customFormat="1" ht="20.100000000000001" customHeight="1">
      <c r="A26" s="4" t="s">
        <v>6</v>
      </c>
      <c r="B26" s="3" t="s">
        <v>55</v>
      </c>
      <c r="C26" s="4" t="s">
        <v>56</v>
      </c>
      <c r="D26" s="4">
        <v>17.45</v>
      </c>
      <c r="E26" s="28">
        <v>2011</v>
      </c>
      <c r="F26" s="25">
        <v>15.814968814968815</v>
      </c>
      <c r="G26" s="25">
        <v>15.64360393603936</v>
      </c>
      <c r="H26" s="25">
        <v>14.768059701492538</v>
      </c>
      <c r="I26" s="25">
        <v>15.17639782285997</v>
      </c>
      <c r="J26" s="25">
        <v>15.857447564877354</v>
      </c>
      <c r="K26" s="25"/>
      <c r="L26" s="25"/>
      <c r="M26" s="25"/>
      <c r="N26" s="25"/>
      <c r="O26" s="25"/>
      <c r="P26" s="25"/>
      <c r="Q26" s="25"/>
    </row>
    <row r="27" spans="1:17" s="2" customFormat="1" ht="20.100000000000001" customHeight="1">
      <c r="A27" s="4" t="s">
        <v>6</v>
      </c>
      <c r="B27" s="3" t="s">
        <v>57</v>
      </c>
      <c r="C27" s="4" t="s">
        <v>58</v>
      </c>
      <c r="D27" s="4">
        <v>19.329999999999998</v>
      </c>
      <c r="E27" s="28">
        <v>2011</v>
      </c>
      <c r="F27" s="25">
        <v>11.866388308977035</v>
      </c>
      <c r="G27" s="25">
        <v>12.176470588235293</v>
      </c>
      <c r="H27" s="25">
        <v>11.95295794725588</v>
      </c>
      <c r="I27" s="25">
        <v>11.884155684952498</v>
      </c>
      <c r="J27" s="25">
        <v>12.31809300508011</v>
      </c>
      <c r="K27" s="25"/>
      <c r="L27" s="25"/>
      <c r="M27" s="25"/>
      <c r="N27" s="25"/>
      <c r="O27" s="25"/>
      <c r="P27" s="25"/>
      <c r="Q27" s="25"/>
    </row>
    <row r="28" spans="1:17" s="2" customFormat="1" ht="20.100000000000001" customHeight="1">
      <c r="A28" s="4" t="s">
        <v>6</v>
      </c>
      <c r="B28" s="3" t="s">
        <v>59</v>
      </c>
      <c r="C28" s="4" t="s">
        <v>60</v>
      </c>
      <c r="D28" s="4">
        <v>28.44</v>
      </c>
      <c r="E28" s="28">
        <v>2011</v>
      </c>
      <c r="F28" s="25">
        <v>14.101946998377501</v>
      </c>
      <c r="G28" s="25">
        <v>13.314500110350917</v>
      </c>
      <c r="H28" s="25">
        <v>13.481430059007289</v>
      </c>
      <c r="I28" s="25">
        <v>12.79756618977142</v>
      </c>
      <c r="J28" s="25">
        <v>11.62363238512035</v>
      </c>
      <c r="K28" s="25"/>
      <c r="L28" s="25"/>
      <c r="M28" s="25"/>
      <c r="N28" s="25"/>
      <c r="O28" s="25"/>
      <c r="P28" s="25"/>
      <c r="Q28" s="25"/>
    </row>
    <row r="29" spans="1:17" s="2" customFormat="1" ht="20.100000000000001" customHeight="1">
      <c r="A29" s="4" t="s">
        <v>6</v>
      </c>
      <c r="B29" s="3" t="s">
        <v>61</v>
      </c>
      <c r="C29" s="4" t="s">
        <v>62</v>
      </c>
      <c r="D29" s="4">
        <v>29.76</v>
      </c>
      <c r="E29" s="28">
        <v>2011</v>
      </c>
      <c r="F29" s="25">
        <v>13.641090358404846</v>
      </c>
      <c r="G29" s="25">
        <v>12.809061488673139</v>
      </c>
      <c r="H29" s="25">
        <v>12.634707397865293</v>
      </c>
      <c r="I29" s="25">
        <v>12.16496700659868</v>
      </c>
      <c r="J29" s="25">
        <v>11.597358121330725</v>
      </c>
      <c r="K29" s="25"/>
      <c r="L29" s="25"/>
      <c r="M29" s="25"/>
      <c r="N29" s="25"/>
      <c r="O29" s="25"/>
      <c r="P29" s="25"/>
      <c r="Q29" s="25"/>
    </row>
    <row r="30" spans="1:17" s="2" customFormat="1" ht="20.100000000000001" customHeight="1">
      <c r="A30" s="4" t="s">
        <v>6</v>
      </c>
      <c r="B30" s="3" t="s">
        <v>63</v>
      </c>
      <c r="C30" s="4" t="s">
        <v>64</v>
      </c>
      <c r="D30" s="4">
        <v>27.43</v>
      </c>
      <c r="E30" s="29">
        <v>2013</v>
      </c>
      <c r="F30" s="25">
        <v>14.32888703626511</v>
      </c>
      <c r="G30" s="25">
        <v>15.490421455938698</v>
      </c>
      <c r="H30" s="25">
        <v>14.947040498442368</v>
      </c>
      <c r="I30" s="25">
        <v>14.678515537670467</v>
      </c>
      <c r="J30" s="25">
        <v>13.164266577361017</v>
      </c>
      <c r="K30" s="25"/>
      <c r="L30" s="25"/>
      <c r="M30" s="25"/>
      <c r="N30" s="25"/>
      <c r="O30" s="25"/>
      <c r="P30" s="25"/>
      <c r="Q30" s="25"/>
    </row>
    <row r="31" spans="1:17" s="2" customFormat="1" ht="20.100000000000001" customHeight="1">
      <c r="A31" s="4" t="s">
        <v>6</v>
      </c>
      <c r="B31" s="3" t="s">
        <v>65</v>
      </c>
      <c r="C31" s="4" t="s">
        <v>66</v>
      </c>
      <c r="D31" s="4">
        <v>12.48</v>
      </c>
      <c r="E31" s="28">
        <v>2013</v>
      </c>
      <c r="F31" s="25">
        <v>15.124031007751938</v>
      </c>
      <c r="G31" s="25">
        <v>15.081487341772151</v>
      </c>
      <c r="H31" s="25">
        <v>14.828723001136794</v>
      </c>
      <c r="I31" s="25">
        <v>14.708701721731037</v>
      </c>
      <c r="J31" s="25">
        <v>13.863150129103651</v>
      </c>
      <c r="K31" s="25"/>
      <c r="L31" s="25"/>
      <c r="M31" s="25"/>
      <c r="N31" s="25"/>
      <c r="O31" s="25"/>
      <c r="P31" s="25"/>
      <c r="Q31" s="25"/>
    </row>
    <row r="32" spans="1:17" s="2" customFormat="1" ht="20.100000000000001" customHeight="1">
      <c r="A32" s="4" t="s">
        <v>6</v>
      </c>
      <c r="B32" s="3" t="s">
        <v>67</v>
      </c>
      <c r="C32" s="4" t="s">
        <v>68</v>
      </c>
      <c r="D32" s="4">
        <v>19.12</v>
      </c>
      <c r="E32" s="28">
        <v>2011</v>
      </c>
      <c r="F32" s="25">
        <v>15.25</v>
      </c>
      <c r="G32" s="25">
        <v>14.783221065523577</v>
      </c>
      <c r="H32" s="25">
        <v>15.426972909305064</v>
      </c>
      <c r="I32" s="25">
        <v>14.836006051437217</v>
      </c>
      <c r="J32" s="25">
        <v>14.020723785957315</v>
      </c>
      <c r="K32" s="25"/>
      <c r="L32" s="25"/>
      <c r="M32" s="25"/>
      <c r="N32" s="25"/>
      <c r="O32" s="25"/>
      <c r="P32" s="25"/>
      <c r="Q32" s="25"/>
    </row>
    <row r="33" spans="1:17" s="2" customFormat="1" ht="20.100000000000001" customHeight="1">
      <c r="A33" s="4" t="s">
        <v>6</v>
      </c>
      <c r="B33" s="3" t="s">
        <v>69</v>
      </c>
      <c r="C33" s="4" t="s">
        <v>70</v>
      </c>
      <c r="D33" s="4">
        <v>18.88</v>
      </c>
      <c r="E33" s="28">
        <v>2011</v>
      </c>
      <c r="F33" s="25">
        <v>16.45230872935625</v>
      </c>
      <c r="G33" s="25">
        <v>14.82644146767618</v>
      </c>
      <c r="H33" s="25">
        <v>15.424216027874564</v>
      </c>
      <c r="I33" s="25">
        <v>14.636867636867636</v>
      </c>
      <c r="J33" s="25">
        <v>14.295303946989341</v>
      </c>
      <c r="K33" s="25"/>
      <c r="L33" s="25"/>
      <c r="M33" s="25"/>
      <c r="N33" s="25"/>
      <c r="O33" s="25"/>
      <c r="P33" s="25"/>
      <c r="Q33" s="25"/>
    </row>
    <row r="34" spans="1:17" s="2" customFormat="1" ht="20.100000000000001" customHeight="1">
      <c r="A34" s="4" t="s">
        <v>6</v>
      </c>
      <c r="B34" s="3" t="s">
        <v>71</v>
      </c>
      <c r="C34" s="4" t="s">
        <v>72</v>
      </c>
      <c r="D34" s="4">
        <v>27.19</v>
      </c>
      <c r="E34" s="28">
        <v>2011</v>
      </c>
      <c r="F34" s="25">
        <v>13.882154882154882</v>
      </c>
      <c r="G34" s="25">
        <v>14.830676490288011</v>
      </c>
      <c r="H34" s="25">
        <v>14.238949509894582</v>
      </c>
      <c r="I34" s="25">
        <v>13.305258148941233</v>
      </c>
      <c r="J34" s="25">
        <v>12.693050910442215</v>
      </c>
      <c r="K34" s="25"/>
      <c r="L34" s="25"/>
      <c r="M34" s="25"/>
      <c r="N34" s="25"/>
      <c r="O34" s="25"/>
      <c r="P34" s="25"/>
      <c r="Q34" s="25"/>
    </row>
    <row r="35" spans="1:17" s="2" customFormat="1" ht="20.100000000000001" customHeight="1">
      <c r="A35" s="4" t="s">
        <v>6</v>
      </c>
      <c r="B35" s="3" t="s">
        <v>73</v>
      </c>
      <c r="C35" s="4" t="s">
        <v>74</v>
      </c>
      <c r="D35" s="4">
        <v>29.83</v>
      </c>
      <c r="E35" s="28">
        <v>2011</v>
      </c>
      <c r="F35" s="25">
        <v>13.161959134615385</v>
      </c>
      <c r="G35" s="25">
        <v>13.787163408336408</v>
      </c>
      <c r="H35" s="25">
        <v>13.632183908045977</v>
      </c>
      <c r="I35" s="25">
        <v>13.146964856230031</v>
      </c>
      <c r="J35" s="25">
        <v>12.666333416645838</v>
      </c>
      <c r="K35" s="25"/>
      <c r="L35" s="25"/>
      <c r="M35" s="25"/>
      <c r="N35" s="25"/>
      <c r="O35" s="25"/>
      <c r="P35" s="25"/>
      <c r="Q35" s="25"/>
    </row>
    <row r="36" spans="1:17" s="2" customFormat="1" ht="20.100000000000001" customHeight="1">
      <c r="A36" s="10" t="s">
        <v>6</v>
      </c>
      <c r="B36" s="9" t="s">
        <v>75</v>
      </c>
      <c r="C36" s="10" t="s">
        <v>76</v>
      </c>
      <c r="D36" s="4">
        <v>18.05</v>
      </c>
      <c r="E36" s="28">
        <v>2011</v>
      </c>
      <c r="F36" s="25">
        <v>14.801583809942807</v>
      </c>
      <c r="G36" s="25">
        <v>14.884098284654613</v>
      </c>
      <c r="H36" s="25">
        <v>14.366224433388613</v>
      </c>
      <c r="I36" s="25">
        <v>14.270758122743683</v>
      </c>
      <c r="J36" s="25">
        <v>12.824742268041238</v>
      </c>
      <c r="K36" s="25"/>
      <c r="L36" s="25"/>
      <c r="M36" s="25"/>
      <c r="N36" s="25"/>
      <c r="O36" s="25"/>
      <c r="P36" s="25"/>
      <c r="Q36" s="25"/>
    </row>
    <row r="37" spans="1:17" s="2" customFormat="1" ht="20.100000000000001" customHeight="1">
      <c r="A37" s="10" t="s">
        <v>6</v>
      </c>
      <c r="B37" s="9" t="s">
        <v>77</v>
      </c>
      <c r="C37" s="10" t="s">
        <v>78</v>
      </c>
      <c r="D37" s="4">
        <v>17.690000000000001</v>
      </c>
      <c r="E37" s="28">
        <v>2011</v>
      </c>
      <c r="F37" s="25">
        <v>16.178960603520537</v>
      </c>
      <c r="G37" s="25">
        <v>16.52309007981756</v>
      </c>
      <c r="H37" s="25">
        <v>16.114499252615843</v>
      </c>
      <c r="I37" s="25">
        <v>15.081221572449643</v>
      </c>
      <c r="J37" s="25">
        <v>13.601857585139319</v>
      </c>
      <c r="K37" s="25"/>
      <c r="L37" s="25"/>
      <c r="M37" s="25"/>
      <c r="N37" s="25"/>
      <c r="O37" s="25"/>
      <c r="P37" s="25"/>
      <c r="Q37" s="25"/>
    </row>
    <row r="38" spans="1:17" s="2" customFormat="1" ht="20.100000000000001" customHeight="1">
      <c r="A38" s="10" t="s">
        <v>6</v>
      </c>
      <c r="B38" s="9" t="s">
        <v>79</v>
      </c>
      <c r="C38" s="10" t="s">
        <v>80</v>
      </c>
      <c r="D38" s="4">
        <v>16.920000000000002</v>
      </c>
      <c r="E38" s="28">
        <v>2011</v>
      </c>
      <c r="F38" s="25">
        <v>15.188861121028204</v>
      </c>
      <c r="G38" s="25">
        <v>15.582681900180397</v>
      </c>
      <c r="H38" s="25">
        <v>15.080446271285966</v>
      </c>
      <c r="I38" s="25">
        <v>14.517635203224723</v>
      </c>
      <c r="J38" s="25">
        <v>13.436206363917208</v>
      </c>
      <c r="K38" s="25"/>
      <c r="L38" s="25"/>
      <c r="M38" s="25"/>
      <c r="N38" s="25"/>
      <c r="O38" s="25"/>
      <c r="P38" s="25"/>
      <c r="Q38" s="25"/>
    </row>
    <row r="39" spans="1:17" s="2" customFormat="1" ht="20.100000000000001" customHeight="1">
      <c r="A39" s="10" t="s">
        <v>6</v>
      </c>
      <c r="B39" s="9" t="s">
        <v>81</v>
      </c>
      <c r="C39" s="10" t="s">
        <v>82</v>
      </c>
      <c r="D39" s="4">
        <v>16.91</v>
      </c>
      <c r="E39" s="28">
        <v>2011</v>
      </c>
      <c r="F39" s="25">
        <v>16.208924949290061</v>
      </c>
      <c r="G39" s="25">
        <v>16.845920533818624</v>
      </c>
      <c r="H39" s="25">
        <v>15.944632768361583</v>
      </c>
      <c r="I39" s="25">
        <v>14.973750000000001</v>
      </c>
      <c r="J39" s="25">
        <v>13.763957597173144</v>
      </c>
      <c r="K39" s="25"/>
      <c r="L39" s="25"/>
      <c r="M39" s="25"/>
      <c r="N39" s="25"/>
      <c r="O39" s="25"/>
      <c r="P39" s="25"/>
      <c r="Q39" s="25"/>
    </row>
    <row r="40" spans="1:17" s="2" customFormat="1" ht="20.100000000000001" customHeight="1">
      <c r="A40" s="10" t="s">
        <v>6</v>
      </c>
      <c r="B40" s="9" t="s">
        <v>83</v>
      </c>
      <c r="C40" s="10" t="s">
        <v>84</v>
      </c>
      <c r="D40" s="4">
        <v>29.03</v>
      </c>
      <c r="E40" s="28">
        <v>2011</v>
      </c>
      <c r="F40" s="25">
        <v>14.490151941474394</v>
      </c>
      <c r="G40" s="25">
        <v>15.209471443774389</v>
      </c>
      <c r="H40" s="25">
        <v>13.710780201342281</v>
      </c>
      <c r="I40" s="25">
        <v>12.934928375495275</v>
      </c>
      <c r="J40" s="25">
        <v>12.315697801001525</v>
      </c>
      <c r="K40" s="25"/>
      <c r="L40" s="25"/>
      <c r="M40" s="25"/>
      <c r="N40" s="25"/>
      <c r="O40" s="25"/>
      <c r="P40" s="25"/>
      <c r="Q40" s="25"/>
    </row>
    <row r="41" spans="1:17" s="2" customFormat="1" ht="20.100000000000001" customHeight="1">
      <c r="A41" s="10" t="s">
        <v>6</v>
      </c>
      <c r="B41" s="9" t="s">
        <v>85</v>
      </c>
      <c r="C41" s="10" t="s">
        <v>86</v>
      </c>
      <c r="D41" s="4">
        <v>29.67</v>
      </c>
      <c r="E41" s="28">
        <v>2011</v>
      </c>
      <c r="F41" s="25">
        <v>14.221927070755855</v>
      </c>
      <c r="G41" s="25">
        <v>14.550447839831401</v>
      </c>
      <c r="H41" s="25">
        <v>13.901042654028435</v>
      </c>
      <c r="I41" s="25">
        <v>12.856980887593133</v>
      </c>
      <c r="J41" s="25">
        <v>12.248854961832061</v>
      </c>
      <c r="K41" s="25"/>
      <c r="L41" s="25"/>
      <c r="M41" s="25"/>
      <c r="N41" s="25"/>
      <c r="O41" s="25"/>
      <c r="P41" s="25"/>
      <c r="Q41" s="25"/>
    </row>
    <row r="42" spans="1:17" s="2" customFormat="1" ht="20.100000000000001" customHeight="1">
      <c r="A42" s="10" t="s">
        <v>6</v>
      </c>
      <c r="B42" s="9" t="s">
        <v>87</v>
      </c>
      <c r="C42" s="10" t="s">
        <v>88</v>
      </c>
      <c r="D42" s="4">
        <v>28.75</v>
      </c>
      <c r="E42" s="28">
        <v>2011</v>
      </c>
      <c r="F42" s="25">
        <v>14.516650342801176</v>
      </c>
      <c r="G42" s="25">
        <v>13.600616332819722</v>
      </c>
      <c r="H42" s="25">
        <v>14.036312849162011</v>
      </c>
      <c r="I42" s="25">
        <v>13.215560314061385</v>
      </c>
      <c r="J42" s="25">
        <v>12.772471277314711</v>
      </c>
      <c r="K42" s="25"/>
      <c r="L42" s="25"/>
      <c r="M42" s="25"/>
      <c r="N42" s="25"/>
      <c r="O42" s="25"/>
      <c r="P42" s="25"/>
      <c r="Q42" s="25"/>
    </row>
    <row r="43" spans="1:17" s="2" customFormat="1" ht="15">
      <c r="A43" s="10" t="s">
        <v>89</v>
      </c>
      <c r="B43" s="9" t="s">
        <v>90</v>
      </c>
      <c r="C43" s="10" t="s">
        <v>91</v>
      </c>
      <c r="D43" s="4">
        <v>2.9</v>
      </c>
      <c r="E43" s="28">
        <v>2013</v>
      </c>
      <c r="F43" s="25">
        <v>14.265503875968992</v>
      </c>
      <c r="G43" s="25">
        <v>13.330373001776199</v>
      </c>
      <c r="H43" s="25">
        <v>13.461672473867596</v>
      </c>
      <c r="I43" s="25">
        <v>14.815573770491802</v>
      </c>
      <c r="J43" s="25">
        <v>12.578249336870027</v>
      </c>
      <c r="K43" s="25"/>
      <c r="L43" s="25"/>
      <c r="M43" s="25"/>
      <c r="N43" s="25"/>
      <c r="O43" s="25"/>
      <c r="P43" s="25"/>
      <c r="Q43" s="25"/>
    </row>
    <row r="44" spans="1:17" s="2" customFormat="1" ht="15">
      <c r="A44" s="10" t="s">
        <v>89</v>
      </c>
      <c r="B44" s="9" t="s">
        <v>92</v>
      </c>
      <c r="C44" s="10" t="s">
        <v>93</v>
      </c>
      <c r="D44" s="4">
        <v>8.11</v>
      </c>
      <c r="E44" s="28">
        <v>2013</v>
      </c>
      <c r="F44" s="25">
        <v>13.346994535519126</v>
      </c>
      <c r="G44" s="25">
        <v>12.780976220275344</v>
      </c>
      <c r="H44" s="25">
        <v>12.977922077922077</v>
      </c>
      <c r="I44" s="25">
        <v>13.409243134628266</v>
      </c>
      <c r="J44" s="25">
        <v>12.241286863270778</v>
      </c>
      <c r="K44" s="25"/>
      <c r="L44" s="25"/>
      <c r="M44" s="25"/>
      <c r="N44" s="25"/>
      <c r="O44" s="25"/>
      <c r="P44" s="25"/>
      <c r="Q44" s="25"/>
    </row>
    <row r="45" spans="1:17" s="2" customFormat="1" ht="15">
      <c r="A45" s="10" t="s">
        <v>89</v>
      </c>
      <c r="B45" s="9" t="s">
        <v>94</v>
      </c>
      <c r="C45" s="10" t="s">
        <v>95</v>
      </c>
      <c r="D45" s="4">
        <v>13.73</v>
      </c>
      <c r="E45" s="28">
        <v>2013</v>
      </c>
      <c r="F45" s="25">
        <v>14.598377281947261</v>
      </c>
      <c r="G45" s="25">
        <v>13.298136645962733</v>
      </c>
      <c r="H45" s="25">
        <v>13.355685131195335</v>
      </c>
      <c r="I45" s="25">
        <v>13.119005328596803</v>
      </c>
      <c r="J45" s="25">
        <v>13.40821142048136</v>
      </c>
      <c r="K45" s="25"/>
      <c r="L45" s="25"/>
      <c r="M45" s="25"/>
      <c r="N45" s="25"/>
      <c r="O45" s="25"/>
      <c r="P45" s="25"/>
      <c r="Q45" s="25"/>
    </row>
    <row r="46" spans="1:17" s="2" customFormat="1" ht="15">
      <c r="A46" s="10" t="s">
        <v>89</v>
      </c>
      <c r="B46" s="9" t="s">
        <v>96</v>
      </c>
      <c r="C46" s="10" t="s">
        <v>97</v>
      </c>
      <c r="D46" s="4">
        <v>18.97</v>
      </c>
      <c r="E46" s="28">
        <v>2013</v>
      </c>
      <c r="F46" s="25">
        <v>15.342919153553987</v>
      </c>
      <c r="G46" s="25">
        <v>15.304996448022733</v>
      </c>
      <c r="H46" s="25">
        <v>14.730041758781626</v>
      </c>
      <c r="I46" s="25">
        <v>14.440085401654658</v>
      </c>
      <c r="J46" s="25">
        <v>14.097374543037555</v>
      </c>
      <c r="K46" s="25"/>
      <c r="L46" s="25"/>
      <c r="M46" s="25"/>
      <c r="N46" s="25"/>
      <c r="O46" s="25"/>
      <c r="P46" s="25"/>
      <c r="Q46" s="25"/>
    </row>
    <row r="47" spans="1:17" s="2" customFormat="1" ht="15">
      <c r="A47" s="10" t="s">
        <v>89</v>
      </c>
      <c r="B47" s="9" t="s">
        <v>98</v>
      </c>
      <c r="C47" s="10" t="s">
        <v>99</v>
      </c>
      <c r="D47" s="4">
        <v>20.11</v>
      </c>
      <c r="E47" s="28">
        <v>2013</v>
      </c>
      <c r="F47" s="25">
        <v>15.934069400630914</v>
      </c>
      <c r="G47" s="25">
        <v>15.922258213789911</v>
      </c>
      <c r="H47" s="25">
        <v>15.068689720065867</v>
      </c>
      <c r="I47" s="25">
        <v>14.476484194294526</v>
      </c>
      <c r="J47" s="25">
        <v>13.436294564582116</v>
      </c>
      <c r="K47" s="25"/>
      <c r="L47" s="25"/>
      <c r="M47" s="25"/>
      <c r="N47" s="25"/>
      <c r="O47" s="25"/>
      <c r="P47" s="25"/>
      <c r="Q47" s="25"/>
    </row>
    <row r="48" spans="1:17" s="2" customFormat="1" ht="15">
      <c r="A48" s="10" t="s">
        <v>89</v>
      </c>
      <c r="B48" s="9" t="s">
        <v>100</v>
      </c>
      <c r="C48" s="10" t="s">
        <v>101</v>
      </c>
      <c r="D48" s="4">
        <v>19.7</v>
      </c>
      <c r="E48" s="28">
        <v>2013</v>
      </c>
      <c r="F48" s="25">
        <v>15.118448098663926</v>
      </c>
      <c r="G48" s="25">
        <v>14.984593837535014</v>
      </c>
      <c r="H48" s="25">
        <v>14.286227544910179</v>
      </c>
      <c r="I48" s="25">
        <v>13.532673782869045</v>
      </c>
      <c r="J48" s="25">
        <v>12.590331577316393</v>
      </c>
      <c r="K48" s="25"/>
      <c r="L48" s="25"/>
      <c r="M48" s="25"/>
      <c r="N48" s="25"/>
      <c r="O48" s="25"/>
      <c r="P48" s="25"/>
      <c r="Q48" s="25"/>
    </row>
    <row r="49" spans="1:17" s="2" customFormat="1" ht="15">
      <c r="A49" s="10" t="s">
        <v>89</v>
      </c>
      <c r="B49" s="9" t="s">
        <v>102</v>
      </c>
      <c r="C49" s="10" t="s">
        <v>103</v>
      </c>
      <c r="D49" s="4">
        <v>15.78</v>
      </c>
      <c r="E49" s="28">
        <v>2013</v>
      </c>
      <c r="F49" s="25">
        <v>14.171439628482972</v>
      </c>
      <c r="G49" s="25">
        <v>14.022139070782663</v>
      </c>
      <c r="H49" s="25">
        <v>13.745035233824472</v>
      </c>
      <c r="I49" s="25">
        <v>12.617341454675744</v>
      </c>
      <c r="J49" s="25">
        <v>12.285081240768095</v>
      </c>
      <c r="K49" s="25"/>
      <c r="L49" s="25"/>
      <c r="M49" s="25"/>
      <c r="N49" s="25"/>
      <c r="O49" s="25"/>
      <c r="P49" s="25"/>
      <c r="Q49" s="25"/>
    </row>
    <row r="50" spans="1:17" s="2" customFormat="1" ht="15">
      <c r="A50" s="10" t="s">
        <v>89</v>
      </c>
      <c r="B50" s="9" t="s">
        <v>104</v>
      </c>
      <c r="C50" s="10" t="s">
        <v>105</v>
      </c>
      <c r="D50" s="4">
        <v>15.24</v>
      </c>
      <c r="E50" s="28">
        <v>2013</v>
      </c>
      <c r="F50" s="25">
        <v>12.655015197568389</v>
      </c>
      <c r="G50" s="25">
        <v>12.775470473718364</v>
      </c>
      <c r="H50" s="25">
        <v>12.121681415929203</v>
      </c>
      <c r="I50" s="25">
        <v>11.646479939439818</v>
      </c>
      <c r="J50" s="25">
        <v>11.180854587611792</v>
      </c>
      <c r="K50" s="25"/>
      <c r="L50" s="25"/>
      <c r="M50" s="25"/>
      <c r="N50" s="25"/>
      <c r="O50" s="25"/>
      <c r="P50" s="25"/>
      <c r="Q50" s="25"/>
    </row>
    <row r="51" spans="1:17" s="2" customFormat="1" ht="15">
      <c r="A51" s="10" t="s">
        <v>89</v>
      </c>
      <c r="B51" s="9" t="s">
        <v>106</v>
      </c>
      <c r="C51" s="10" t="s">
        <v>107</v>
      </c>
      <c r="D51" s="4">
        <v>13.99</v>
      </c>
      <c r="E51" s="28">
        <v>2013</v>
      </c>
      <c r="F51" s="25">
        <v>13.92741935483871</v>
      </c>
      <c r="G51" s="25">
        <v>13.92190957951312</v>
      </c>
      <c r="H51" s="25">
        <v>13.365645721503</v>
      </c>
      <c r="I51" s="25">
        <v>13.006797583081571</v>
      </c>
      <c r="J51" s="25">
        <v>11.963933181473045</v>
      </c>
      <c r="K51" s="25"/>
      <c r="L51" s="25"/>
      <c r="M51" s="25"/>
      <c r="N51" s="25"/>
      <c r="O51" s="25"/>
      <c r="P51" s="25"/>
      <c r="Q51" s="25"/>
    </row>
    <row r="52" spans="1:17" s="2" customFormat="1" ht="15">
      <c r="A52" s="10" t="s">
        <v>89</v>
      </c>
      <c r="B52" s="9" t="s">
        <v>108</v>
      </c>
      <c r="C52" s="10" t="s">
        <v>109</v>
      </c>
      <c r="D52" s="4">
        <v>6.19</v>
      </c>
      <c r="E52" s="28">
        <v>2014</v>
      </c>
      <c r="F52" s="25">
        <v>10.871192341166232</v>
      </c>
      <c r="G52" s="25">
        <v>11.376353039134054</v>
      </c>
      <c r="H52" s="25">
        <v>12.172958735733099</v>
      </c>
      <c r="I52" s="25">
        <v>11.78448275862069</v>
      </c>
      <c r="J52" s="25">
        <v>10.36545240893067</v>
      </c>
      <c r="K52" s="25"/>
      <c r="L52" s="25"/>
      <c r="M52" s="25"/>
      <c r="N52" s="25"/>
      <c r="O52" s="25"/>
      <c r="P52" s="25"/>
      <c r="Q52" s="25"/>
    </row>
    <row r="53" spans="1:17" s="2" customFormat="1" ht="15">
      <c r="A53" s="10" t="s">
        <v>89</v>
      </c>
      <c r="B53" s="9" t="s">
        <v>110</v>
      </c>
      <c r="C53" s="10" t="s">
        <v>111</v>
      </c>
      <c r="D53" s="4">
        <v>12.1</v>
      </c>
      <c r="E53" s="28">
        <v>2014</v>
      </c>
      <c r="F53" s="25">
        <v>12.832504970178926</v>
      </c>
      <c r="G53" s="25">
        <v>12.788903337667968</v>
      </c>
      <c r="H53" s="25">
        <v>13.13784021071115</v>
      </c>
      <c r="I53" s="25">
        <v>12.789748457522544</v>
      </c>
      <c r="J53" s="25">
        <v>10.231884057971014</v>
      </c>
      <c r="K53" s="25"/>
      <c r="L53" s="25"/>
      <c r="M53" s="25"/>
      <c r="N53" s="25"/>
      <c r="O53" s="25"/>
      <c r="P53" s="25"/>
      <c r="Q53" s="25"/>
    </row>
    <row r="54" spans="1:17" s="2" customFormat="1" ht="15">
      <c r="A54" s="10" t="s">
        <v>89</v>
      </c>
      <c r="B54" s="9" t="s">
        <v>112</v>
      </c>
      <c r="C54" s="10" t="s">
        <v>113</v>
      </c>
      <c r="D54" s="4">
        <v>16.170000000000002</v>
      </c>
      <c r="E54" s="28">
        <v>2014</v>
      </c>
      <c r="F54" s="25">
        <v>12.622981366459628</v>
      </c>
      <c r="G54" s="25">
        <v>12.048858204992033</v>
      </c>
      <c r="H54" s="25">
        <v>12.755495332731105</v>
      </c>
      <c r="I54" s="25">
        <v>12.116327751196172</v>
      </c>
      <c r="J54" s="25">
        <v>11.396422628951747</v>
      </c>
      <c r="K54" s="25"/>
      <c r="L54" s="25"/>
      <c r="M54" s="25"/>
      <c r="N54" s="25"/>
      <c r="O54" s="25"/>
      <c r="P54" s="25"/>
      <c r="Q54" s="25"/>
    </row>
    <row r="55" spans="1:17" s="2" customFormat="1" ht="15">
      <c r="A55" s="10" t="s">
        <v>89</v>
      </c>
      <c r="B55" s="9" t="s">
        <v>114</v>
      </c>
      <c r="C55" s="10" t="s">
        <v>115</v>
      </c>
      <c r="D55" s="4">
        <v>1.8</v>
      </c>
      <c r="E55" s="29">
        <v>2013</v>
      </c>
      <c r="F55" s="25">
        <v>13.980099502487562</v>
      </c>
      <c r="G55" s="25">
        <v>13.602510460251047</v>
      </c>
      <c r="H55" s="25">
        <v>15.268292682926829</v>
      </c>
      <c r="I55" s="25">
        <v>15.158682634730539</v>
      </c>
      <c r="J55" s="25">
        <v>12.262295081967213</v>
      </c>
      <c r="K55" s="25"/>
      <c r="L55" s="25"/>
      <c r="M55" s="25"/>
      <c r="N55" s="25"/>
      <c r="O55" s="25"/>
      <c r="P55" s="25"/>
      <c r="Q55" s="25"/>
    </row>
    <row r="56" spans="1:17" s="2" customFormat="1" ht="15">
      <c r="A56" s="10" t="s">
        <v>89</v>
      </c>
      <c r="B56" s="9" t="s">
        <v>116</v>
      </c>
      <c r="C56" s="10" t="s">
        <v>117</v>
      </c>
      <c r="D56" s="4">
        <v>11.94</v>
      </c>
      <c r="E56" s="29">
        <v>2014</v>
      </c>
      <c r="F56" s="25">
        <v>13.119152339064375</v>
      </c>
      <c r="G56" s="25">
        <v>12.755623332062523</v>
      </c>
      <c r="H56" s="25">
        <v>13.482583454281567</v>
      </c>
      <c r="I56" s="25">
        <v>12.610632183908047</v>
      </c>
      <c r="J56" s="25">
        <v>12.359777313848294</v>
      </c>
      <c r="K56" s="25"/>
      <c r="L56" s="25"/>
      <c r="M56" s="25"/>
      <c r="N56" s="25"/>
      <c r="O56" s="25"/>
      <c r="P56" s="25"/>
      <c r="Q56" s="25"/>
    </row>
    <row r="57" spans="1:17" s="2" customFormat="1" ht="15">
      <c r="A57" s="10" t="s">
        <v>89</v>
      </c>
      <c r="B57" s="9" t="s">
        <v>118</v>
      </c>
      <c r="C57" s="10" t="s">
        <v>119</v>
      </c>
      <c r="D57" s="4">
        <v>5.65</v>
      </c>
      <c r="E57" s="29">
        <v>2014</v>
      </c>
      <c r="F57" s="25">
        <v>13.610798650168729</v>
      </c>
      <c r="G57" s="25">
        <v>14.114285714285714</v>
      </c>
      <c r="H57" s="25">
        <v>14.435020519835842</v>
      </c>
      <c r="I57" s="25">
        <v>14.219540229885057</v>
      </c>
      <c r="J57" s="25">
        <v>14.053169734151329</v>
      </c>
      <c r="K57" s="25"/>
      <c r="L57" s="25"/>
      <c r="M57" s="25"/>
      <c r="N57" s="25"/>
      <c r="O57" s="25"/>
      <c r="P57" s="25"/>
      <c r="Q57" s="25"/>
    </row>
    <row r="58" spans="1:17" s="2" customFormat="1" ht="15">
      <c r="A58" s="10" t="s">
        <v>89</v>
      </c>
      <c r="B58" s="9" t="s">
        <v>120</v>
      </c>
      <c r="C58" s="10" t="s">
        <v>121</v>
      </c>
      <c r="D58" s="4">
        <v>14.5</v>
      </c>
      <c r="E58" s="29">
        <v>2013</v>
      </c>
      <c r="F58" s="25">
        <v>14.367842244975352</v>
      </c>
      <c r="G58" s="25">
        <v>15.057240099009901</v>
      </c>
      <c r="H58" s="25">
        <v>14.679931972789115</v>
      </c>
      <c r="I58" s="25">
        <v>13.673104097974564</v>
      </c>
      <c r="J58" s="25">
        <v>13.739559164733178</v>
      </c>
      <c r="K58" s="25"/>
      <c r="L58" s="25"/>
      <c r="M58" s="25"/>
      <c r="N58" s="25"/>
      <c r="O58" s="25"/>
      <c r="P58" s="25"/>
      <c r="Q58" s="25"/>
    </row>
    <row r="59" spans="1:17" s="2" customFormat="1" ht="15">
      <c r="A59" s="10" t="s">
        <v>89</v>
      </c>
      <c r="B59" s="9" t="s">
        <v>122</v>
      </c>
      <c r="C59" s="10" t="s">
        <v>123</v>
      </c>
      <c r="D59" s="4">
        <v>9.76</v>
      </c>
      <c r="E59" s="29">
        <v>2014</v>
      </c>
      <c r="F59" s="25">
        <v>14.329805996472663</v>
      </c>
      <c r="G59" s="25">
        <v>14.613636363636363</v>
      </c>
      <c r="H59" s="25">
        <v>14.283831282952548</v>
      </c>
      <c r="I59" s="25">
        <v>14.368483412322275</v>
      </c>
      <c r="J59" s="25">
        <v>14.486533449174631</v>
      </c>
      <c r="K59" s="25"/>
      <c r="L59" s="25"/>
      <c r="M59" s="25"/>
      <c r="N59" s="25"/>
      <c r="O59" s="25"/>
      <c r="P59" s="25"/>
      <c r="Q59" s="25"/>
    </row>
    <row r="60" spans="1:17" s="2" customFormat="1" ht="15">
      <c r="A60" s="10" t="s">
        <v>89</v>
      </c>
      <c r="B60" s="9" t="s">
        <v>124</v>
      </c>
      <c r="C60" s="10" t="s">
        <v>125</v>
      </c>
      <c r="D60" s="4">
        <v>11.17</v>
      </c>
      <c r="E60" s="29">
        <v>2013</v>
      </c>
      <c r="F60" s="25">
        <v>15.950764006791172</v>
      </c>
      <c r="G60" s="25">
        <v>16.418012924071082</v>
      </c>
      <c r="H60" s="25">
        <v>15.17159277504105</v>
      </c>
      <c r="I60" s="25">
        <v>15.041967213114754</v>
      </c>
      <c r="J60" s="25">
        <v>15.112022979072631</v>
      </c>
      <c r="K60" s="25"/>
      <c r="L60" s="25"/>
      <c r="M60" s="25"/>
      <c r="N60" s="25"/>
      <c r="O60" s="25"/>
      <c r="P60" s="25"/>
      <c r="Q60" s="25"/>
    </row>
    <row r="61" spans="1:17" s="2" customFormat="1" ht="15">
      <c r="A61" s="10" t="s">
        <v>89</v>
      </c>
      <c r="B61" s="9" t="s">
        <v>126</v>
      </c>
      <c r="C61" s="10" t="s">
        <v>127</v>
      </c>
      <c r="D61" s="4">
        <v>8.92</v>
      </c>
      <c r="E61" s="29">
        <v>2014</v>
      </c>
      <c r="F61" s="25">
        <v>15.194159431728492</v>
      </c>
      <c r="G61" s="25">
        <v>15.356970185334408</v>
      </c>
      <c r="H61" s="25">
        <v>15.259587020648967</v>
      </c>
      <c r="I61" s="25">
        <v>15.382868937048503</v>
      </c>
      <c r="J61" s="25">
        <v>14.854889589905362</v>
      </c>
      <c r="K61" s="25"/>
      <c r="L61" s="25"/>
      <c r="M61" s="25"/>
      <c r="N61" s="25"/>
      <c r="O61" s="25"/>
      <c r="P61" s="25"/>
      <c r="Q61" s="25"/>
    </row>
    <row r="62" spans="1:17" s="2" customFormat="1" ht="15">
      <c r="A62" s="10" t="s">
        <v>89</v>
      </c>
      <c r="B62" s="9" t="s">
        <v>128</v>
      </c>
      <c r="C62" s="10" t="s">
        <v>129</v>
      </c>
      <c r="D62" s="4">
        <v>11.39</v>
      </c>
      <c r="E62" s="29">
        <v>2013</v>
      </c>
      <c r="F62" s="25">
        <v>15.566309911586785</v>
      </c>
      <c r="G62" s="25">
        <v>15.880034275921165</v>
      </c>
      <c r="H62" s="25">
        <v>15.88579734219269</v>
      </c>
      <c r="I62" s="25">
        <v>15.670010030090271</v>
      </c>
      <c r="J62" s="25">
        <v>15.68444666001994</v>
      </c>
      <c r="K62" s="25"/>
      <c r="L62" s="25"/>
      <c r="M62" s="25"/>
      <c r="N62" s="25"/>
      <c r="O62" s="25"/>
      <c r="P62" s="25"/>
      <c r="Q62" s="25"/>
    </row>
    <row r="63" spans="1:17" s="2" customFormat="1" ht="15">
      <c r="A63" s="10" t="s">
        <v>89</v>
      </c>
      <c r="B63" s="9" t="s">
        <v>130</v>
      </c>
      <c r="C63" s="10" t="s">
        <v>131</v>
      </c>
      <c r="D63" s="4">
        <v>20.83</v>
      </c>
      <c r="E63" s="29">
        <v>2013</v>
      </c>
      <c r="F63" s="25">
        <v>16.35110393107162</v>
      </c>
      <c r="G63" s="25">
        <v>15.90927374301676</v>
      </c>
      <c r="H63" s="25">
        <v>16.005559189012427</v>
      </c>
      <c r="I63" s="25">
        <v>15.8156202143951</v>
      </c>
      <c r="J63" s="25">
        <v>15.716442953020135</v>
      </c>
      <c r="K63" s="25"/>
      <c r="L63" s="25"/>
      <c r="M63" s="25"/>
      <c r="N63" s="25"/>
      <c r="O63" s="25"/>
      <c r="P63" s="25"/>
      <c r="Q63" s="25"/>
    </row>
    <row r="64" spans="1:17" s="2" customFormat="1" ht="15">
      <c r="A64" s="10" t="s">
        <v>89</v>
      </c>
      <c r="B64" s="9" t="s">
        <v>132</v>
      </c>
      <c r="C64" s="10" t="s">
        <v>133</v>
      </c>
      <c r="D64" s="4">
        <v>22.01</v>
      </c>
      <c r="E64" s="29">
        <v>2013</v>
      </c>
      <c r="F64" s="25">
        <v>13.620122699386503</v>
      </c>
      <c r="G64" s="25">
        <v>13.746236169054962</v>
      </c>
      <c r="H64" s="25">
        <v>13.604103132797338</v>
      </c>
      <c r="I64" s="25">
        <v>13.695639701663797</v>
      </c>
      <c r="J64" s="25">
        <v>12.43032159264931</v>
      </c>
      <c r="K64" s="25"/>
      <c r="L64" s="25"/>
      <c r="M64" s="25"/>
      <c r="N64" s="25"/>
      <c r="O64" s="25"/>
      <c r="P64" s="25"/>
      <c r="Q64" s="25"/>
    </row>
    <row r="65" spans="1:17" s="2" customFormat="1" ht="15">
      <c r="A65" s="10" t="s">
        <v>89</v>
      </c>
      <c r="B65" s="9" t="s">
        <v>134</v>
      </c>
      <c r="C65" s="10" t="s">
        <v>135</v>
      </c>
      <c r="D65" s="4">
        <v>16.87</v>
      </c>
      <c r="E65" s="29">
        <v>2013</v>
      </c>
      <c r="F65" s="25">
        <v>12.137029288702928</v>
      </c>
      <c r="G65" s="25">
        <v>12.87368959345436</v>
      </c>
      <c r="H65" s="25">
        <v>12.212074303405572</v>
      </c>
      <c r="I65" s="25">
        <v>11.715856686768358</v>
      </c>
      <c r="J65" s="25">
        <v>10.737348649487737</v>
      </c>
      <c r="K65" s="25"/>
      <c r="L65" s="25"/>
      <c r="M65" s="25"/>
      <c r="N65" s="25"/>
      <c r="O65" s="25"/>
      <c r="P65" s="25"/>
      <c r="Q65" s="25"/>
    </row>
    <row r="66" spans="1:17" s="2" customFormat="1" ht="15">
      <c r="A66" s="10" t="s">
        <v>89</v>
      </c>
      <c r="B66" s="9" t="s">
        <v>136</v>
      </c>
      <c r="C66" s="10" t="s">
        <v>137</v>
      </c>
      <c r="D66" s="4">
        <v>14.05</v>
      </c>
      <c r="E66" s="29">
        <v>2014</v>
      </c>
      <c r="F66" s="25">
        <v>11.71072319201995</v>
      </c>
      <c r="G66" s="25">
        <v>11.620605319474167</v>
      </c>
      <c r="H66" s="25">
        <v>11.668968692449356</v>
      </c>
      <c r="I66" s="25">
        <v>11.24334085778781</v>
      </c>
      <c r="J66" s="25">
        <v>10.595148473442075</v>
      </c>
      <c r="K66" s="25"/>
      <c r="L66" s="25"/>
      <c r="M66" s="25"/>
      <c r="N66" s="25"/>
      <c r="O66" s="25"/>
      <c r="P66" s="25"/>
      <c r="Q66" s="25"/>
    </row>
    <row r="67" spans="1:17" s="2" customFormat="1" ht="15">
      <c r="A67" s="10" t="s">
        <v>89</v>
      </c>
      <c r="B67" s="9" t="s">
        <v>138</v>
      </c>
      <c r="C67" s="10" t="s">
        <v>139</v>
      </c>
      <c r="D67" s="4">
        <v>2.4500000000000002</v>
      </c>
      <c r="E67" s="29">
        <v>2013</v>
      </c>
      <c r="F67" s="25">
        <v>9.6542553191489358</v>
      </c>
      <c r="G67" s="25">
        <v>10.049295774647888</v>
      </c>
      <c r="H67" s="25">
        <v>10.061032863849766</v>
      </c>
      <c r="I67" s="25">
        <v>9.5254237288135588</v>
      </c>
      <c r="J67" s="25">
        <v>9.0467980295566495</v>
      </c>
      <c r="K67" s="25"/>
      <c r="L67" s="25"/>
      <c r="M67" s="25"/>
      <c r="N67" s="25"/>
      <c r="O67" s="25"/>
      <c r="P67" s="25"/>
      <c r="Q67" s="25"/>
    </row>
    <row r="68" spans="1:17" s="2" customFormat="1" ht="15">
      <c r="A68" s="10" t="s">
        <v>89</v>
      </c>
      <c r="B68" s="9" t="s">
        <v>140</v>
      </c>
      <c r="C68" s="10" t="s">
        <v>141</v>
      </c>
      <c r="D68" s="4">
        <v>11.43</v>
      </c>
      <c r="E68" s="28">
        <v>2014</v>
      </c>
      <c r="F68" s="25">
        <v>12.410321921308125</v>
      </c>
      <c r="G68" s="25">
        <v>12.524613726194755</v>
      </c>
      <c r="H68" s="25">
        <v>12.171717171717171</v>
      </c>
      <c r="I68" s="25">
        <v>11.706659619450317</v>
      </c>
      <c r="J68" s="25">
        <v>11.001018329938899</v>
      </c>
      <c r="K68" s="25"/>
      <c r="L68" s="25"/>
      <c r="M68" s="25"/>
      <c r="N68" s="25"/>
      <c r="O68" s="25"/>
      <c r="P68" s="25"/>
      <c r="Q68" s="25"/>
    </row>
    <row r="69" spans="1:17" s="2" customFormat="1" ht="15">
      <c r="A69" s="10" t="s">
        <v>89</v>
      </c>
      <c r="B69" s="9" t="s">
        <v>142</v>
      </c>
      <c r="C69" s="10" t="s">
        <v>143</v>
      </c>
      <c r="D69" s="4">
        <v>9.64</v>
      </c>
      <c r="E69" s="28">
        <v>2014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/>
      <c r="L69" s="25"/>
      <c r="M69" s="25"/>
      <c r="N69" s="25"/>
      <c r="O69" s="25"/>
      <c r="P69" s="25"/>
      <c r="Q69" s="25"/>
    </row>
    <row r="70" spans="1:17" s="2" customFormat="1" ht="15">
      <c r="A70" s="10" t="s">
        <v>89</v>
      </c>
      <c r="B70" s="9" t="s">
        <v>144</v>
      </c>
      <c r="C70" s="10" t="s">
        <v>145</v>
      </c>
      <c r="D70" s="4">
        <v>12.84</v>
      </c>
      <c r="E70" s="28">
        <v>2014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/>
      <c r="L70" s="25"/>
      <c r="M70" s="25"/>
      <c r="N70" s="25"/>
      <c r="O70" s="25"/>
      <c r="P70" s="25"/>
      <c r="Q70" s="25"/>
    </row>
    <row r="71" spans="1:17" s="2" customFormat="1" ht="15">
      <c r="A71" s="10" t="s">
        <v>89</v>
      </c>
      <c r="B71" s="9" t="s">
        <v>146</v>
      </c>
      <c r="C71" s="10" t="s">
        <v>147</v>
      </c>
      <c r="D71" s="4">
        <v>17.38</v>
      </c>
      <c r="E71" s="28">
        <v>2013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/>
      <c r="L71" s="25"/>
      <c r="M71" s="25"/>
      <c r="N71" s="25"/>
      <c r="O71" s="25"/>
      <c r="P71" s="25"/>
      <c r="Q71" s="25"/>
    </row>
    <row r="72" spans="1:17" s="2" customFormat="1" ht="15">
      <c r="A72" s="10" t="s">
        <v>89</v>
      </c>
      <c r="B72" s="9" t="s">
        <v>148</v>
      </c>
      <c r="C72" s="10" t="s">
        <v>149</v>
      </c>
      <c r="D72" s="4">
        <v>18.41</v>
      </c>
      <c r="E72" s="28">
        <v>2013</v>
      </c>
      <c r="F72" s="25">
        <v>12.271359484148308</v>
      </c>
      <c r="G72" s="25">
        <v>12.817889662560257</v>
      </c>
      <c r="H72" s="25">
        <v>13.812151898734177</v>
      </c>
      <c r="I72" s="25">
        <v>13.207334273624824</v>
      </c>
      <c r="J72" s="25">
        <v>11.612107623318385</v>
      </c>
      <c r="K72" s="25"/>
      <c r="L72" s="25"/>
      <c r="M72" s="25"/>
      <c r="N72" s="25"/>
      <c r="O72" s="25"/>
      <c r="P72" s="25"/>
      <c r="Q72" s="25"/>
    </row>
    <row r="73" spans="1:17" s="2" customFormat="1" ht="15">
      <c r="A73" s="10" t="s">
        <v>89</v>
      </c>
      <c r="B73" s="9" t="s">
        <v>150</v>
      </c>
      <c r="C73" s="10" t="s">
        <v>151</v>
      </c>
      <c r="D73" s="4">
        <v>14.5</v>
      </c>
      <c r="E73" s="28">
        <v>2013</v>
      </c>
      <c r="F73" s="25">
        <v>12.286025408348458</v>
      </c>
      <c r="G73" s="25">
        <v>12.714062987215467</v>
      </c>
      <c r="H73" s="25">
        <v>13.308752805386343</v>
      </c>
      <c r="I73" s="25">
        <v>12.547113752122241</v>
      </c>
      <c r="J73" s="25">
        <v>11.435347856640899</v>
      </c>
      <c r="K73" s="25"/>
      <c r="L73" s="25"/>
      <c r="M73" s="25"/>
      <c r="N73" s="25"/>
      <c r="O73" s="25"/>
      <c r="P73" s="25"/>
      <c r="Q73" s="25"/>
    </row>
    <row r="74" spans="1:17" s="2" customFormat="1" ht="15">
      <c r="A74" s="10" t="s">
        <v>89</v>
      </c>
      <c r="B74" s="9" t="s">
        <v>152</v>
      </c>
      <c r="C74" s="10" t="s">
        <v>153</v>
      </c>
      <c r="D74" s="4">
        <v>16.829999999999998</v>
      </c>
      <c r="E74" s="28">
        <v>2013</v>
      </c>
      <c r="F74" s="25">
        <v>13.046225473894246</v>
      </c>
      <c r="G74" s="25">
        <v>13.555797326701896</v>
      </c>
      <c r="H74" s="25">
        <v>13.53215284249767</v>
      </c>
      <c r="I74" s="25">
        <v>12.547481052162283</v>
      </c>
      <c r="J74" s="25">
        <v>11.458721934369603</v>
      </c>
      <c r="K74" s="25"/>
      <c r="L74" s="25"/>
      <c r="M74" s="25"/>
      <c r="N74" s="25"/>
      <c r="O74" s="25"/>
      <c r="P74" s="25"/>
      <c r="Q74" s="25"/>
    </row>
    <row r="75" spans="1:17" s="2" customFormat="1" ht="15">
      <c r="A75" s="10" t="s">
        <v>89</v>
      </c>
      <c r="B75" s="9" t="s">
        <v>154</v>
      </c>
      <c r="C75" s="10" t="s">
        <v>155</v>
      </c>
      <c r="D75" s="4">
        <v>16.510000000000002</v>
      </c>
      <c r="E75" s="28">
        <v>2014</v>
      </c>
      <c r="F75" s="25">
        <v>13.695886716115981</v>
      </c>
      <c r="G75" s="25">
        <v>14.342120509849362</v>
      </c>
      <c r="H75" s="25">
        <v>14.602724492632749</v>
      </c>
      <c r="I75" s="25">
        <v>15.090283400809717</v>
      </c>
      <c r="J75" s="25">
        <v>13.216154067260707</v>
      </c>
      <c r="K75" s="25"/>
      <c r="L75" s="25"/>
      <c r="M75" s="25"/>
      <c r="N75" s="25"/>
      <c r="O75" s="25"/>
      <c r="P75" s="25"/>
      <c r="Q75" s="25"/>
    </row>
    <row r="76" spans="1:17" s="2" customFormat="1" ht="15">
      <c r="A76" s="10" t="s">
        <v>89</v>
      </c>
      <c r="B76" s="9" t="s">
        <v>156</v>
      </c>
      <c r="C76" s="10" t="s">
        <v>157</v>
      </c>
      <c r="D76" s="4">
        <v>8.64</v>
      </c>
      <c r="E76" s="28">
        <v>2014</v>
      </c>
      <c r="F76" s="25">
        <v>12.869712351945854</v>
      </c>
      <c r="G76" s="25">
        <v>13.341414141414141</v>
      </c>
      <c r="H76" s="25">
        <v>13.776381909547739</v>
      </c>
      <c r="I76" s="25">
        <v>14.005947323704333</v>
      </c>
      <c r="J76" s="25">
        <v>13.481574016239851</v>
      </c>
      <c r="K76" s="25"/>
      <c r="L76" s="25"/>
      <c r="M76" s="25"/>
      <c r="N76" s="25"/>
      <c r="O76" s="25"/>
      <c r="P76" s="25"/>
      <c r="Q76" s="25"/>
    </row>
    <row r="77" spans="1:17" s="2" customFormat="1" ht="15">
      <c r="A77" s="10" t="s">
        <v>89</v>
      </c>
      <c r="B77" s="9" t="s">
        <v>158</v>
      </c>
      <c r="C77" s="10" t="s">
        <v>159</v>
      </c>
      <c r="D77" s="4">
        <v>15.15</v>
      </c>
      <c r="E77" s="28">
        <v>2014</v>
      </c>
      <c r="F77" s="25">
        <v>15.88749459108611</v>
      </c>
      <c r="G77" s="25">
        <v>15.732362821948488</v>
      </c>
      <c r="H77" s="25">
        <v>15.948504471168672</v>
      </c>
      <c r="I77" s="25">
        <v>15.551784927280741</v>
      </c>
      <c r="J77" s="25">
        <v>15.211674347158219</v>
      </c>
      <c r="K77" s="25"/>
      <c r="L77" s="25"/>
      <c r="M77" s="25"/>
      <c r="N77" s="25"/>
      <c r="O77" s="25"/>
      <c r="P77" s="25"/>
      <c r="Q77" s="25"/>
    </row>
    <row r="78" spans="1:17" s="2" customFormat="1" ht="15">
      <c r="A78" s="10" t="s">
        <v>89</v>
      </c>
      <c r="B78" s="9" t="s">
        <v>160</v>
      </c>
      <c r="C78" s="10" t="s">
        <v>161</v>
      </c>
      <c r="D78" s="4">
        <v>21.97</v>
      </c>
      <c r="E78" s="28">
        <v>2014</v>
      </c>
      <c r="F78" s="25">
        <v>14.375250166777851</v>
      </c>
      <c r="G78" s="25">
        <v>14.588151523782399</v>
      </c>
      <c r="H78" s="25">
        <v>14.426248821866164</v>
      </c>
      <c r="I78" s="25">
        <v>14.332503888024883</v>
      </c>
      <c r="J78" s="25">
        <v>13.657149230426054</v>
      </c>
      <c r="K78" s="25"/>
      <c r="L78" s="25"/>
      <c r="M78" s="25"/>
      <c r="N78" s="25"/>
      <c r="O78" s="25"/>
      <c r="P78" s="25"/>
      <c r="Q78" s="25"/>
    </row>
    <row r="79" spans="1:17" s="2" customFormat="1" ht="15">
      <c r="A79" s="10" t="s">
        <v>89</v>
      </c>
      <c r="B79" s="9" t="s">
        <v>162</v>
      </c>
      <c r="C79" s="10" t="s">
        <v>163</v>
      </c>
      <c r="D79" s="4">
        <v>18.100000000000001</v>
      </c>
      <c r="E79" s="28">
        <v>2014</v>
      </c>
      <c r="F79" s="25">
        <v>13.021086780210867</v>
      </c>
      <c r="G79" s="25">
        <v>13.473974491554637</v>
      </c>
      <c r="H79" s="25">
        <v>13.789653035935563</v>
      </c>
      <c r="I79" s="25">
        <v>13.728712174524983</v>
      </c>
      <c r="J79" s="25">
        <v>12.963843648208469</v>
      </c>
      <c r="K79" s="25"/>
      <c r="L79" s="25"/>
      <c r="M79" s="25"/>
      <c r="N79" s="25"/>
      <c r="O79" s="25"/>
      <c r="P79" s="25"/>
      <c r="Q79" s="25"/>
    </row>
    <row r="80" spans="1:17" s="2" customFormat="1" ht="15">
      <c r="A80" s="10" t="s">
        <v>89</v>
      </c>
      <c r="B80" s="9" t="s">
        <v>164</v>
      </c>
      <c r="C80" s="10" t="s">
        <v>165</v>
      </c>
      <c r="D80" s="4">
        <v>20.149999999999999</v>
      </c>
      <c r="E80" s="28">
        <v>2014</v>
      </c>
      <c r="F80" s="25">
        <v>12.292521109770808</v>
      </c>
      <c r="G80" s="25">
        <v>12.306361607142858</v>
      </c>
      <c r="H80" s="25">
        <v>12.707728894173602</v>
      </c>
      <c r="I80" s="25">
        <v>12.452165156092649</v>
      </c>
      <c r="J80" s="25">
        <v>10.261299012271776</v>
      </c>
      <c r="K80" s="25"/>
      <c r="L80" s="25"/>
      <c r="M80" s="25"/>
      <c r="N80" s="25"/>
      <c r="O80" s="25"/>
      <c r="P80" s="25"/>
      <c r="Q80" s="25"/>
    </row>
    <row r="81" spans="1:17" s="2" customFormat="1" ht="15">
      <c r="A81" s="10" t="s">
        <v>89</v>
      </c>
      <c r="B81" s="9" t="s">
        <v>166</v>
      </c>
      <c r="C81" s="10" t="s">
        <v>167</v>
      </c>
      <c r="D81" s="4">
        <v>20.3</v>
      </c>
      <c r="E81" s="28">
        <v>2014</v>
      </c>
      <c r="F81" s="25">
        <v>10.845251716247139</v>
      </c>
      <c r="G81" s="25">
        <v>10.88559215489062</v>
      </c>
      <c r="H81" s="25">
        <v>10.769684592693443</v>
      </c>
      <c r="I81" s="25">
        <v>9.8929058663028648</v>
      </c>
      <c r="J81" s="25">
        <v>9.2119335772586552</v>
      </c>
      <c r="K81" s="25"/>
      <c r="L81" s="25"/>
      <c r="M81" s="25"/>
      <c r="N81" s="25"/>
      <c r="O81" s="25"/>
      <c r="P81" s="25"/>
      <c r="Q81" s="25"/>
    </row>
    <row r="82" spans="1:17" s="2" customFormat="1" ht="15">
      <c r="A82" s="10" t="s">
        <v>89</v>
      </c>
      <c r="B82" s="9" t="s">
        <v>168</v>
      </c>
      <c r="C82" s="10" t="s">
        <v>169</v>
      </c>
      <c r="D82" s="4">
        <v>16.600000000000001</v>
      </c>
      <c r="E82" s="28">
        <v>2014</v>
      </c>
      <c r="F82" s="25">
        <v>11.262551966741286</v>
      </c>
      <c r="G82" s="25">
        <v>11.317103311913</v>
      </c>
      <c r="H82" s="25">
        <v>11.235434717657604</v>
      </c>
      <c r="I82" s="25">
        <v>11.128901734104046</v>
      </c>
      <c r="J82" s="25">
        <v>10.522840827980014</v>
      </c>
      <c r="K82" s="25"/>
      <c r="L82" s="25"/>
      <c r="M82" s="25"/>
      <c r="N82" s="25"/>
      <c r="O82" s="25"/>
      <c r="P82" s="25"/>
      <c r="Q82" s="25"/>
    </row>
    <row r="83" spans="1:17" s="2" customFormat="1" ht="15">
      <c r="A83" s="10" t="s">
        <v>89</v>
      </c>
      <c r="B83" s="9" t="s">
        <v>170</v>
      </c>
      <c r="C83" s="10" t="s">
        <v>171</v>
      </c>
      <c r="D83" s="4">
        <v>11.94</v>
      </c>
      <c r="E83" s="28">
        <v>2014</v>
      </c>
      <c r="F83" s="25">
        <v>9.1470451372731496</v>
      </c>
      <c r="G83" s="25">
        <v>9.250584697627799</v>
      </c>
      <c r="H83" s="25">
        <v>9.4821930646672907</v>
      </c>
      <c r="I83" s="25">
        <v>9.0561092654115907</v>
      </c>
      <c r="J83" s="25">
        <v>8.5691823899371062</v>
      </c>
      <c r="K83" s="25"/>
      <c r="L83" s="25"/>
      <c r="M83" s="25"/>
      <c r="N83" s="25"/>
      <c r="O83" s="25"/>
      <c r="P83" s="25"/>
      <c r="Q83" s="25"/>
    </row>
    <row r="84" spans="1:17" s="2" customFormat="1" ht="15">
      <c r="A84" s="10" t="s">
        <v>89</v>
      </c>
      <c r="B84" s="9" t="s">
        <v>172</v>
      </c>
      <c r="C84" s="10" t="s">
        <v>173</v>
      </c>
      <c r="D84" s="4">
        <v>14.6</v>
      </c>
      <c r="E84" s="28">
        <v>2014</v>
      </c>
      <c r="F84" s="25">
        <v>11.04039603960396</v>
      </c>
      <c r="G84" s="25">
        <v>11.118235930735931</v>
      </c>
      <c r="H84" s="25">
        <v>11.022526146419951</v>
      </c>
      <c r="I84" s="25">
        <v>10.306590257879655</v>
      </c>
      <c r="J84" s="25">
        <v>9.9618320610687014</v>
      </c>
      <c r="K84" s="25"/>
      <c r="L84" s="25"/>
      <c r="M84" s="25"/>
      <c r="N84" s="25"/>
      <c r="O84" s="25"/>
      <c r="P84" s="25"/>
      <c r="Q84" s="25"/>
    </row>
    <row r="85" spans="1:17" s="2" customFormat="1" ht="15">
      <c r="A85" s="10" t="s">
        <v>89</v>
      </c>
      <c r="B85" s="9" t="s">
        <v>174</v>
      </c>
      <c r="C85" s="10" t="s">
        <v>175</v>
      </c>
      <c r="D85" s="4">
        <v>1.4</v>
      </c>
      <c r="E85" s="28">
        <v>2014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/>
      <c r="L85" s="25"/>
      <c r="M85" s="25"/>
      <c r="N85" s="25"/>
      <c r="O85" s="25"/>
      <c r="P85" s="25"/>
      <c r="Q85" s="25"/>
    </row>
    <row r="86" spans="1:17" s="2" customFormat="1" ht="15">
      <c r="A86" s="10" t="s">
        <v>89</v>
      </c>
      <c r="B86" s="9" t="s">
        <v>176</v>
      </c>
      <c r="C86" s="10" t="s">
        <v>177</v>
      </c>
      <c r="D86" s="4">
        <v>13.72</v>
      </c>
      <c r="E86" s="28">
        <v>2014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/>
      <c r="L86" s="25"/>
      <c r="M86" s="25"/>
      <c r="N86" s="25"/>
      <c r="O86" s="25"/>
      <c r="P86" s="25"/>
      <c r="Q86" s="25"/>
    </row>
    <row r="87" spans="1:17" s="2" customFormat="1" ht="15">
      <c r="A87" s="10" t="s">
        <v>89</v>
      </c>
      <c r="B87" s="9" t="s">
        <v>178</v>
      </c>
      <c r="C87" s="10" t="s">
        <v>179</v>
      </c>
      <c r="D87" s="4">
        <v>11.31</v>
      </c>
      <c r="E87" s="28">
        <v>2014</v>
      </c>
      <c r="F87" s="25">
        <v>9.5619412515964246</v>
      </c>
      <c r="G87" s="25">
        <v>10.373539232053423</v>
      </c>
      <c r="H87" s="25">
        <v>10.812173913043479</v>
      </c>
      <c r="I87" s="25">
        <v>10.378690629011553</v>
      </c>
      <c r="J87" s="25">
        <v>9.4681892332789559</v>
      </c>
      <c r="K87" s="25"/>
      <c r="L87" s="25"/>
      <c r="M87" s="25"/>
      <c r="N87" s="25"/>
      <c r="O87" s="25"/>
      <c r="P87" s="25"/>
      <c r="Q87" s="25"/>
    </row>
    <row r="88" spans="1:17" s="2" customFormat="1" ht="15">
      <c r="A88" s="10" t="s">
        <v>89</v>
      </c>
      <c r="B88" s="9" t="s">
        <v>180</v>
      </c>
      <c r="C88" s="10" t="s">
        <v>181</v>
      </c>
      <c r="D88" s="4">
        <v>10.47</v>
      </c>
      <c r="E88" s="28">
        <v>2014</v>
      </c>
      <c r="F88" s="25">
        <v>11.058482613277134</v>
      </c>
      <c r="G88" s="25">
        <v>11.780123583934088</v>
      </c>
      <c r="H88" s="25">
        <v>12.193727870510875</v>
      </c>
      <c r="I88" s="25">
        <v>11.452968645763843</v>
      </c>
      <c r="J88" s="25">
        <v>10.496439471007122</v>
      </c>
      <c r="K88" s="25"/>
      <c r="L88" s="25"/>
      <c r="M88" s="25"/>
      <c r="N88" s="25"/>
      <c r="O88" s="25"/>
      <c r="P88" s="25"/>
      <c r="Q88" s="25"/>
    </row>
    <row r="89" spans="1:17" s="2" customFormat="1" ht="15">
      <c r="A89" s="10" t="s">
        <v>89</v>
      </c>
      <c r="B89" s="9" t="s">
        <v>182</v>
      </c>
      <c r="C89" s="10" t="s">
        <v>183</v>
      </c>
      <c r="D89" s="4">
        <v>10.39</v>
      </c>
      <c r="E89" s="28">
        <v>2014</v>
      </c>
      <c r="F89" s="25">
        <v>10.71699053313403</v>
      </c>
      <c r="G89" s="25">
        <v>11.693868349864744</v>
      </c>
      <c r="H89" s="25">
        <v>11.854511100614076</v>
      </c>
      <c r="I89" s="25">
        <v>11.094027954256671</v>
      </c>
      <c r="J89" s="25">
        <v>10.575314861460956</v>
      </c>
      <c r="K89" s="25"/>
      <c r="L89" s="25"/>
      <c r="M89" s="25"/>
      <c r="N89" s="25"/>
      <c r="O89" s="25"/>
      <c r="P89" s="25"/>
      <c r="Q89" s="25"/>
    </row>
    <row r="90" spans="1:17" s="2" customFormat="1" ht="15">
      <c r="A90" s="10" t="s">
        <v>89</v>
      </c>
      <c r="B90" s="9" t="s">
        <v>184</v>
      </c>
      <c r="C90" s="10" t="s">
        <v>185</v>
      </c>
      <c r="D90" s="4">
        <v>6.47</v>
      </c>
      <c r="E90" s="28">
        <v>2014</v>
      </c>
      <c r="F90" s="25">
        <v>8.7861369399830931</v>
      </c>
      <c r="G90" s="25">
        <v>9.6233333333333331</v>
      </c>
      <c r="H90" s="25">
        <v>10.225399495374264</v>
      </c>
      <c r="I90" s="25">
        <v>9.6057494866529769</v>
      </c>
      <c r="J90" s="25">
        <v>9.1501798561151073</v>
      </c>
      <c r="K90" s="25"/>
      <c r="L90" s="25"/>
      <c r="M90" s="25"/>
      <c r="N90" s="25"/>
      <c r="O90" s="25"/>
      <c r="P90" s="25"/>
      <c r="Q90" s="25"/>
    </row>
    <row r="91" spans="1:17" s="2" customFormat="1" ht="15">
      <c r="A91" s="10" t="s">
        <v>89</v>
      </c>
      <c r="B91" s="9" t="s">
        <v>186</v>
      </c>
      <c r="C91" s="10" t="s">
        <v>187</v>
      </c>
      <c r="D91" s="4">
        <v>7.45</v>
      </c>
      <c r="E91" s="28">
        <v>2014</v>
      </c>
      <c r="F91" s="25">
        <v>9.792375765827094</v>
      </c>
      <c r="G91" s="25">
        <v>10.410408432147563</v>
      </c>
      <c r="H91" s="25">
        <v>10.608803986710964</v>
      </c>
      <c r="I91" s="25">
        <v>10.168304668304668</v>
      </c>
      <c r="J91" s="25">
        <v>9.5641399416909625</v>
      </c>
      <c r="K91" s="25"/>
      <c r="L91" s="25"/>
      <c r="M91" s="25"/>
      <c r="N91" s="25"/>
      <c r="O91" s="25"/>
      <c r="P91" s="25"/>
      <c r="Q91" s="25"/>
    </row>
    <row r="92" spans="1:17" s="2" customFormat="1" ht="15">
      <c r="A92" s="10" t="s">
        <v>89</v>
      </c>
      <c r="B92" s="9" t="s">
        <v>188</v>
      </c>
      <c r="C92" s="10" t="s">
        <v>189</v>
      </c>
      <c r="D92" s="4">
        <v>13.09</v>
      </c>
      <c r="E92" s="28">
        <v>2014</v>
      </c>
      <c r="F92" s="25">
        <v>11.281504459092671</v>
      </c>
      <c r="G92" s="25">
        <v>11.77248489157483</v>
      </c>
      <c r="H92" s="25">
        <v>11.782237832413447</v>
      </c>
      <c r="I92" s="25">
        <v>10.897455374097987</v>
      </c>
      <c r="J92" s="25">
        <v>10.041835357624832</v>
      </c>
      <c r="K92" s="25"/>
      <c r="L92" s="25"/>
      <c r="M92" s="25"/>
      <c r="N92" s="25"/>
      <c r="O92" s="25"/>
      <c r="P92" s="25"/>
      <c r="Q92" s="25"/>
    </row>
    <row r="93" spans="1:17" s="2" customFormat="1" ht="15">
      <c r="A93" s="10" t="s">
        <v>89</v>
      </c>
      <c r="B93" s="9" t="s">
        <v>190</v>
      </c>
      <c r="C93" s="10" t="s">
        <v>191</v>
      </c>
      <c r="D93" s="4">
        <v>15.33</v>
      </c>
      <c r="E93" s="28">
        <v>2014</v>
      </c>
      <c r="F93" s="25">
        <v>9.3397129186602879</v>
      </c>
      <c r="G93" s="25">
        <v>9.7929109684621825</v>
      </c>
      <c r="H93" s="25">
        <v>10.396488661302122</v>
      </c>
      <c r="I93" s="25">
        <v>9.8130177514792898</v>
      </c>
      <c r="J93" s="25">
        <v>9.4238385376999236</v>
      </c>
      <c r="K93" s="25"/>
      <c r="L93" s="25"/>
      <c r="M93" s="25"/>
      <c r="N93" s="25"/>
      <c r="O93" s="25"/>
      <c r="P93" s="25"/>
      <c r="Q93" s="25"/>
    </row>
    <row r="94" spans="1:17" s="2" customFormat="1" ht="15">
      <c r="A94" s="10" t="s">
        <v>89</v>
      </c>
      <c r="B94" s="9" t="s">
        <v>192</v>
      </c>
      <c r="C94" s="10" t="s">
        <v>193</v>
      </c>
      <c r="D94" s="4">
        <v>11.8</v>
      </c>
      <c r="E94" s="28">
        <v>2014</v>
      </c>
      <c r="F94" s="25">
        <v>10.857483128225486</v>
      </c>
      <c r="G94" s="25">
        <v>10.805916305916305</v>
      </c>
      <c r="H94" s="25">
        <v>10.854254818993889</v>
      </c>
      <c r="I94" s="25">
        <v>10.500559492726595</v>
      </c>
      <c r="J94" s="25">
        <v>10.239869585468096</v>
      </c>
      <c r="K94" s="25"/>
      <c r="L94" s="25"/>
      <c r="M94" s="25"/>
      <c r="N94" s="25"/>
      <c r="O94" s="25"/>
      <c r="P94" s="25"/>
      <c r="Q94" s="25"/>
    </row>
    <row r="95" spans="1:17" s="2" customFormat="1" ht="15">
      <c r="A95" s="10" t="s">
        <v>89</v>
      </c>
      <c r="B95" s="9" t="s">
        <v>194</v>
      </c>
      <c r="C95" s="10" t="s">
        <v>195</v>
      </c>
      <c r="D95" s="4">
        <v>14.29</v>
      </c>
      <c r="E95" s="28">
        <v>2014</v>
      </c>
      <c r="F95" s="25">
        <v>10.148648648648649</v>
      </c>
      <c r="G95" s="25">
        <v>9.9223468507333905</v>
      </c>
      <c r="H95" s="25">
        <v>9.4074923547400608</v>
      </c>
      <c r="I95" s="25">
        <v>9.5659068384539143</v>
      </c>
      <c r="J95" s="25">
        <v>9.0783639143730888</v>
      </c>
      <c r="K95" s="25"/>
      <c r="L95" s="25"/>
      <c r="M95" s="25"/>
      <c r="N95" s="25"/>
      <c r="O95" s="25"/>
      <c r="P95" s="25"/>
      <c r="Q95" s="25"/>
    </row>
    <row r="96" spans="1:17" s="2" customFormat="1" ht="15">
      <c r="A96" s="10" t="s">
        <v>89</v>
      </c>
      <c r="B96" s="9">
        <v>193</v>
      </c>
      <c r="C96" s="10" t="s">
        <v>196</v>
      </c>
      <c r="D96" s="4">
        <v>1.96</v>
      </c>
      <c r="E96" s="28">
        <v>2014</v>
      </c>
      <c r="F96" s="25">
        <v>8.5387931034482758</v>
      </c>
      <c r="G96" s="25">
        <v>9.2094240837696333</v>
      </c>
      <c r="H96" s="25">
        <v>9.5972850678733028</v>
      </c>
      <c r="I96" s="25">
        <v>9.2903225806451619</v>
      </c>
      <c r="J96" s="25">
        <v>8.5205479452054789</v>
      </c>
      <c r="K96" s="25"/>
      <c r="L96" s="25"/>
      <c r="M96" s="25"/>
      <c r="N96" s="25"/>
      <c r="O96" s="25"/>
      <c r="P96" s="25"/>
      <c r="Q96" s="25"/>
    </row>
    <row r="97" spans="1:17" s="2" customFormat="1" ht="15">
      <c r="A97" s="10" t="s">
        <v>89</v>
      </c>
      <c r="B97" s="9">
        <v>243</v>
      </c>
      <c r="C97" s="10" t="s">
        <v>197</v>
      </c>
      <c r="D97" s="4">
        <v>1.24</v>
      </c>
      <c r="E97" s="28">
        <v>2015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/>
      <c r="L97" s="25"/>
      <c r="M97" s="25"/>
      <c r="N97" s="25"/>
      <c r="O97" s="25"/>
      <c r="P97" s="25"/>
      <c r="Q97" s="25"/>
    </row>
    <row r="98" spans="1:17" s="2" customFormat="1" ht="15">
      <c r="A98" s="10" t="s">
        <v>89</v>
      </c>
      <c r="B98" s="9" t="s">
        <v>198</v>
      </c>
      <c r="C98" s="10" t="s">
        <v>199</v>
      </c>
      <c r="D98" s="4">
        <v>18.91</v>
      </c>
      <c r="E98" s="28">
        <v>2013</v>
      </c>
      <c r="F98" s="25">
        <v>12.24044710163764</v>
      </c>
      <c r="G98" s="25">
        <v>12.32902201043794</v>
      </c>
      <c r="H98" s="25">
        <v>12.065566458519179</v>
      </c>
      <c r="I98" s="25">
        <v>11.564102564102564</v>
      </c>
      <c r="J98" s="25">
        <v>10.728704181724316</v>
      </c>
      <c r="K98" s="25"/>
      <c r="L98" s="25"/>
      <c r="M98" s="25"/>
      <c r="N98" s="25"/>
      <c r="O98" s="25"/>
      <c r="P98" s="25"/>
      <c r="Q98" s="25"/>
    </row>
    <row r="99" spans="1:17" s="2" customFormat="1" ht="15">
      <c r="A99" s="10" t="s">
        <v>89</v>
      </c>
      <c r="B99" s="9" t="s">
        <v>200</v>
      </c>
      <c r="C99" s="10" t="s">
        <v>201</v>
      </c>
      <c r="D99" s="4">
        <v>22.69</v>
      </c>
      <c r="E99" s="28">
        <v>2014</v>
      </c>
      <c r="F99" s="25">
        <v>12.493911719939117</v>
      </c>
      <c r="G99" s="25">
        <v>12.44581901489118</v>
      </c>
      <c r="H99" s="25">
        <v>12.193893825472772</v>
      </c>
      <c r="I99" s="25">
        <v>11.308516801853997</v>
      </c>
      <c r="J99" s="25">
        <v>10.500627037873087</v>
      </c>
      <c r="K99" s="25"/>
      <c r="L99" s="25"/>
      <c r="M99" s="25"/>
      <c r="N99" s="25"/>
      <c r="O99" s="25"/>
      <c r="P99" s="25"/>
      <c r="Q99" s="25"/>
    </row>
    <row r="100" spans="1:17" s="2" customFormat="1" ht="15">
      <c r="A100" s="10" t="s">
        <v>89</v>
      </c>
      <c r="B100" s="9" t="s">
        <v>202</v>
      </c>
      <c r="C100" s="10" t="s">
        <v>203</v>
      </c>
      <c r="D100" s="4">
        <v>21.85</v>
      </c>
      <c r="E100" s="28">
        <v>2014</v>
      </c>
      <c r="F100" s="25">
        <v>10.057267759562842</v>
      </c>
      <c r="G100" s="25">
        <v>9.9528918692372166</v>
      </c>
      <c r="H100" s="25">
        <v>9.8135719612229675</v>
      </c>
      <c r="I100" s="25">
        <v>9.1874336658883458</v>
      </c>
      <c r="J100" s="25">
        <v>8.9209528965890641</v>
      </c>
      <c r="K100" s="25"/>
      <c r="L100" s="25"/>
      <c r="M100" s="25"/>
      <c r="N100" s="25"/>
      <c r="O100" s="25"/>
      <c r="P100" s="25"/>
      <c r="Q100" s="25"/>
    </row>
    <row r="101" spans="1:17" s="2" customFormat="1" ht="15">
      <c r="A101" s="10" t="s">
        <v>89</v>
      </c>
      <c r="B101" s="9" t="s">
        <v>204</v>
      </c>
      <c r="C101" s="10" t="s">
        <v>205</v>
      </c>
      <c r="D101" s="4">
        <v>22.27</v>
      </c>
      <c r="E101" s="28">
        <v>2014</v>
      </c>
      <c r="F101" s="25">
        <v>11.335128286347798</v>
      </c>
      <c r="G101" s="25">
        <v>10.740828657747088</v>
      </c>
      <c r="H101" s="25">
        <v>10.329981143934633</v>
      </c>
      <c r="I101" s="25">
        <v>10.356809943034698</v>
      </c>
      <c r="J101" s="25">
        <v>9.6321839080459775</v>
      </c>
      <c r="K101" s="25"/>
      <c r="L101" s="25"/>
      <c r="M101" s="25"/>
      <c r="N101" s="25"/>
      <c r="O101" s="25"/>
      <c r="P101" s="25"/>
      <c r="Q101" s="25"/>
    </row>
    <row r="102" spans="1:17" s="2" customFormat="1" ht="15">
      <c r="A102" s="10" t="s">
        <v>89</v>
      </c>
      <c r="B102" s="9">
        <v>276</v>
      </c>
      <c r="C102" s="10" t="s">
        <v>109</v>
      </c>
      <c r="D102" s="4">
        <v>0.95</v>
      </c>
      <c r="E102" s="28">
        <v>2022</v>
      </c>
      <c r="F102" s="25">
        <v>5.2995169082125608</v>
      </c>
      <c r="G102" s="25">
        <v>5.9531772575250832</v>
      </c>
      <c r="H102" s="25">
        <v>6.254032258064516</v>
      </c>
      <c r="I102" s="25">
        <v>6.2561403508771933</v>
      </c>
      <c r="J102" s="25">
        <v>5.3137254901960782</v>
      </c>
      <c r="K102" s="25"/>
      <c r="L102" s="25"/>
      <c r="M102" s="25"/>
      <c r="N102" s="25"/>
      <c r="O102" s="25"/>
      <c r="P102" s="25"/>
      <c r="Q102" s="25"/>
    </row>
    <row r="103" spans="1:17" s="2" customFormat="1" ht="15">
      <c r="A103" s="10" t="s">
        <v>89</v>
      </c>
      <c r="B103" s="9">
        <v>293</v>
      </c>
      <c r="C103" s="10" t="s">
        <v>196</v>
      </c>
      <c r="D103" s="4">
        <v>3.57</v>
      </c>
      <c r="E103" s="28">
        <v>2022</v>
      </c>
      <c r="F103" s="25">
        <v>5.5043914680050188</v>
      </c>
      <c r="G103" s="25">
        <v>6.3260869565217392</v>
      </c>
      <c r="H103" s="25">
        <v>6.7930648769574944</v>
      </c>
      <c r="I103" s="25">
        <v>6.900364520048603</v>
      </c>
      <c r="J103" s="25">
        <v>6.6676217765042978</v>
      </c>
      <c r="K103" s="25"/>
      <c r="L103" s="25"/>
      <c r="M103" s="25"/>
      <c r="N103" s="25"/>
      <c r="O103" s="25"/>
      <c r="P103" s="25"/>
      <c r="Q103" s="25"/>
    </row>
    <row r="104" spans="1:17" s="2" customFormat="1" ht="15">
      <c r="A104" s="10" t="s">
        <v>206</v>
      </c>
      <c r="B104" s="9" t="s">
        <v>207</v>
      </c>
      <c r="C104" s="10" t="s">
        <v>208</v>
      </c>
      <c r="D104" s="4">
        <v>20.9</v>
      </c>
      <c r="E104" s="28">
        <v>2014</v>
      </c>
      <c r="F104" s="25">
        <v>9.1091811414392065</v>
      </c>
      <c r="G104" s="25">
        <v>9.4251666330034336</v>
      </c>
      <c r="H104" s="25">
        <v>9.6326669695592919</v>
      </c>
      <c r="I104" s="25">
        <v>9.760800842992623</v>
      </c>
      <c r="J104" s="25">
        <v>8.6504513540621861</v>
      </c>
      <c r="K104" s="25"/>
      <c r="L104" s="25"/>
      <c r="M104" s="25"/>
      <c r="N104" s="25"/>
      <c r="O104" s="25"/>
      <c r="P104" s="25"/>
      <c r="Q104" s="25"/>
    </row>
    <row r="105" spans="1:17" s="2" customFormat="1" ht="15">
      <c r="A105" s="10" t="s">
        <v>206</v>
      </c>
      <c r="B105" s="9" t="s">
        <v>209</v>
      </c>
      <c r="C105" s="10" t="s">
        <v>210</v>
      </c>
      <c r="D105" s="4">
        <v>21.54</v>
      </c>
      <c r="E105" s="28">
        <v>2014</v>
      </c>
      <c r="F105" s="25">
        <v>9.5850234009360378</v>
      </c>
      <c r="G105" s="25">
        <v>9.6967727476467953</v>
      </c>
      <c r="H105" s="25">
        <v>9.8980490874763998</v>
      </c>
      <c r="I105" s="25">
        <v>9.9436961206896548</v>
      </c>
      <c r="J105" s="25">
        <v>8.8996232508073199</v>
      </c>
      <c r="K105" s="25"/>
      <c r="L105" s="25"/>
      <c r="M105" s="25"/>
      <c r="N105" s="25"/>
      <c r="O105" s="25"/>
      <c r="P105" s="25"/>
      <c r="Q105" s="25"/>
    </row>
    <row r="106" spans="1:17" s="2" customFormat="1" ht="15">
      <c r="A106" s="10" t="s">
        <v>206</v>
      </c>
      <c r="B106" s="9" t="s">
        <v>211</v>
      </c>
      <c r="C106" s="10" t="s">
        <v>212</v>
      </c>
      <c r="D106" s="4">
        <v>20.18</v>
      </c>
      <c r="E106" s="28">
        <v>2014</v>
      </c>
      <c r="F106" s="25">
        <v>10.427548806941431</v>
      </c>
      <c r="G106" s="25">
        <v>10.614564831261101</v>
      </c>
      <c r="H106" s="25">
        <v>10.33218901453958</v>
      </c>
      <c r="I106" s="25">
        <v>10.231535003211304</v>
      </c>
      <c r="J106" s="25">
        <v>9.7904986721746834</v>
      </c>
      <c r="K106" s="25"/>
      <c r="L106" s="25"/>
      <c r="M106" s="25"/>
      <c r="N106" s="25"/>
      <c r="O106" s="25"/>
      <c r="P106" s="25"/>
      <c r="Q106" s="25"/>
    </row>
    <row r="107" spans="1:17" s="2" customFormat="1" ht="15">
      <c r="A107" s="10" t="s">
        <v>206</v>
      </c>
      <c r="B107" s="9" t="s">
        <v>213</v>
      </c>
      <c r="C107" s="10" t="s">
        <v>214</v>
      </c>
      <c r="D107" s="4">
        <v>13.33</v>
      </c>
      <c r="E107" s="28">
        <v>2014</v>
      </c>
      <c r="F107" s="25">
        <v>10.174409127954361</v>
      </c>
      <c r="G107" s="25">
        <v>10.537015276145711</v>
      </c>
      <c r="H107" s="25">
        <v>10.618573797678275</v>
      </c>
      <c r="I107" s="25">
        <v>10.605824232969319</v>
      </c>
      <c r="J107" s="25">
        <v>10.307163886162904</v>
      </c>
      <c r="K107" s="25"/>
      <c r="L107" s="25"/>
      <c r="M107" s="25"/>
      <c r="N107" s="25"/>
      <c r="O107" s="25"/>
      <c r="P107" s="25"/>
      <c r="Q107" s="25"/>
    </row>
    <row r="108" spans="1:17" s="2" customFormat="1" ht="15">
      <c r="A108" s="10" t="s">
        <v>206</v>
      </c>
      <c r="B108" s="9" t="s">
        <v>215</v>
      </c>
      <c r="C108" s="10" t="s">
        <v>216</v>
      </c>
      <c r="D108" s="4">
        <v>11.13</v>
      </c>
      <c r="E108" s="28">
        <v>2014</v>
      </c>
      <c r="F108" s="25">
        <v>10.451551854655564</v>
      </c>
      <c r="G108" s="25">
        <v>11.050751116524564</v>
      </c>
      <c r="H108" s="25">
        <v>10.505226480836237</v>
      </c>
      <c r="I108" s="25">
        <v>10.084077031470175</v>
      </c>
      <c r="J108" s="25">
        <v>9.3616406701328714</v>
      </c>
      <c r="K108" s="25"/>
      <c r="L108" s="25"/>
      <c r="M108" s="25"/>
      <c r="N108" s="25"/>
      <c r="O108" s="25"/>
      <c r="P108" s="25"/>
      <c r="Q108" s="25"/>
    </row>
    <row r="109" spans="1:17" s="2" customFormat="1" ht="15">
      <c r="A109" s="10" t="s">
        <v>206</v>
      </c>
      <c r="B109" s="9" t="s">
        <v>217</v>
      </c>
      <c r="C109" s="10" t="s">
        <v>218</v>
      </c>
      <c r="D109" s="4">
        <v>5.13</v>
      </c>
      <c r="E109" s="29">
        <v>2014</v>
      </c>
      <c r="F109" s="25">
        <v>10.442970822281167</v>
      </c>
      <c r="G109" s="25">
        <v>11.32536293766012</v>
      </c>
      <c r="H109" s="25">
        <v>11.094322344322345</v>
      </c>
      <c r="I109" s="25">
        <v>10.627358490566039</v>
      </c>
      <c r="J109" s="25">
        <v>9.582814445828145</v>
      </c>
      <c r="K109" s="25"/>
      <c r="L109" s="25"/>
      <c r="M109" s="25"/>
      <c r="N109" s="25"/>
      <c r="O109" s="25"/>
      <c r="P109" s="25"/>
      <c r="Q109" s="25"/>
    </row>
    <row r="110" spans="1:17" s="2" customFormat="1" ht="15">
      <c r="A110" s="10" t="s">
        <v>206</v>
      </c>
      <c r="B110" s="9" t="s">
        <v>219</v>
      </c>
      <c r="C110" s="10" t="s">
        <v>220</v>
      </c>
      <c r="D110" s="4">
        <v>7.8</v>
      </c>
      <c r="E110" s="29">
        <v>2014</v>
      </c>
      <c r="F110" s="25">
        <v>10.96228710462287</v>
      </c>
      <c r="G110" s="25">
        <v>11.695815115552779</v>
      </c>
      <c r="H110" s="25">
        <v>11.432168550873588</v>
      </c>
      <c r="I110" s="25">
        <v>11.445794392523364</v>
      </c>
      <c r="J110" s="25">
        <v>11.219278881530537</v>
      </c>
      <c r="K110" s="25"/>
      <c r="L110" s="25"/>
      <c r="M110" s="25"/>
      <c r="N110" s="25"/>
      <c r="O110" s="25"/>
      <c r="P110" s="25"/>
      <c r="Q110" s="25"/>
    </row>
    <row r="111" spans="1:17" s="2" customFormat="1" ht="15">
      <c r="A111" s="10" t="s">
        <v>206</v>
      </c>
      <c r="B111" s="9" t="s">
        <v>221</v>
      </c>
      <c r="C111" s="10" t="s">
        <v>222</v>
      </c>
      <c r="D111" s="4">
        <v>1.92</v>
      </c>
      <c r="E111" s="29">
        <v>2014</v>
      </c>
      <c r="F111" s="25">
        <v>10.160083160083159</v>
      </c>
      <c r="G111" s="25">
        <v>10.607207207207207</v>
      </c>
      <c r="H111" s="25">
        <v>10.449244060475163</v>
      </c>
      <c r="I111" s="25">
        <v>10.456647398843931</v>
      </c>
      <c r="J111" s="25">
        <v>10.45278450363196</v>
      </c>
      <c r="K111" s="25"/>
      <c r="L111" s="25"/>
      <c r="M111" s="25"/>
      <c r="N111" s="25"/>
      <c r="O111" s="25"/>
      <c r="P111" s="25"/>
      <c r="Q111" s="25"/>
    </row>
    <row r="112" spans="1:17" s="2" customFormat="1" ht="15">
      <c r="A112" s="10" t="s">
        <v>206</v>
      </c>
      <c r="B112" s="9" t="s">
        <v>223</v>
      </c>
      <c r="C112" s="10" t="s">
        <v>224</v>
      </c>
      <c r="D112" s="4">
        <v>18.62</v>
      </c>
      <c r="E112" s="29">
        <v>2013</v>
      </c>
      <c r="F112" s="25">
        <v>11.419426048565121</v>
      </c>
      <c r="G112" s="25">
        <v>11.362008563643441</v>
      </c>
      <c r="H112" s="25">
        <v>11.048414023372287</v>
      </c>
      <c r="I112" s="25">
        <v>11.273468155750075</v>
      </c>
      <c r="J112" s="25">
        <v>9.9091399299002418</v>
      </c>
      <c r="K112" s="25"/>
      <c r="L112" s="25"/>
      <c r="M112" s="25"/>
      <c r="N112" s="25"/>
      <c r="O112" s="25"/>
      <c r="P112" s="25"/>
      <c r="Q112" s="25"/>
    </row>
    <row r="113" spans="1:17" s="2" customFormat="1" ht="15">
      <c r="A113" s="10" t="s">
        <v>206</v>
      </c>
      <c r="B113" s="9" t="s">
        <v>225</v>
      </c>
      <c r="C113" s="10" t="s">
        <v>226</v>
      </c>
      <c r="D113" s="4">
        <v>19.079999999999998</v>
      </c>
      <c r="E113" s="29">
        <v>2013</v>
      </c>
      <c r="F113" s="25">
        <v>12.307113187954309</v>
      </c>
      <c r="G113" s="25">
        <v>11.753338570306363</v>
      </c>
      <c r="H113" s="25">
        <v>11.379195429659605</v>
      </c>
      <c r="I113" s="25">
        <v>11.054241564175339</v>
      </c>
      <c r="J113" s="25">
        <v>9.8061951754385959</v>
      </c>
      <c r="K113" s="25"/>
      <c r="L113" s="25"/>
      <c r="M113" s="25"/>
      <c r="N113" s="25"/>
      <c r="O113" s="25"/>
      <c r="P113" s="25"/>
      <c r="Q113" s="25"/>
    </row>
    <row r="114" spans="1:17" s="2" customFormat="1" ht="15">
      <c r="A114" s="10" t="s">
        <v>206</v>
      </c>
      <c r="B114" s="9" t="s">
        <v>227</v>
      </c>
      <c r="C114" s="10" t="s">
        <v>228</v>
      </c>
      <c r="D114" s="4">
        <v>18.29</v>
      </c>
      <c r="E114" s="29">
        <v>2013</v>
      </c>
      <c r="F114" s="25">
        <v>12.065217391304348</v>
      </c>
      <c r="G114" s="25">
        <v>11.876084762865792</v>
      </c>
      <c r="H114" s="25">
        <v>11.544225352112676</v>
      </c>
      <c r="I114" s="25">
        <v>10.457782672540382</v>
      </c>
      <c r="J114" s="25">
        <v>9.6549274019153533</v>
      </c>
      <c r="K114" s="25"/>
      <c r="L114" s="25"/>
      <c r="M114" s="25"/>
      <c r="N114" s="25"/>
      <c r="O114" s="25"/>
      <c r="P114" s="25"/>
      <c r="Q114" s="25"/>
    </row>
    <row r="115" spans="1:17" s="2" customFormat="1" ht="15">
      <c r="A115" s="10" t="s">
        <v>206</v>
      </c>
      <c r="B115" s="9" t="s">
        <v>229</v>
      </c>
      <c r="C115" s="10" t="s">
        <v>230</v>
      </c>
      <c r="D115" s="4">
        <v>20.73</v>
      </c>
      <c r="E115" s="29">
        <v>2013</v>
      </c>
      <c r="F115" s="25">
        <v>11.671709962888952</v>
      </c>
      <c r="G115" s="25">
        <v>11.674714579824069</v>
      </c>
      <c r="H115" s="25">
        <v>10.91223541559112</v>
      </c>
      <c r="I115" s="25">
        <v>10.441149212233549</v>
      </c>
      <c r="J115" s="25">
        <v>9.5700231481481488</v>
      </c>
      <c r="K115" s="25"/>
      <c r="L115" s="25"/>
      <c r="M115" s="25"/>
      <c r="N115" s="25"/>
      <c r="O115" s="25"/>
      <c r="P115" s="25"/>
      <c r="Q115" s="25"/>
    </row>
    <row r="116" spans="1:17" s="2" customFormat="1" ht="15">
      <c r="A116" s="10" t="s">
        <v>206</v>
      </c>
      <c r="B116" s="9" t="s">
        <v>231</v>
      </c>
      <c r="C116" s="10" t="s">
        <v>232</v>
      </c>
      <c r="D116" s="4">
        <v>19.010000000000002</v>
      </c>
      <c r="E116" s="29">
        <v>2013</v>
      </c>
      <c r="F116" s="25">
        <v>11.504616364215218</v>
      </c>
      <c r="G116" s="25">
        <v>11.416647398843931</v>
      </c>
      <c r="H116" s="25">
        <v>10.402858011553663</v>
      </c>
      <c r="I116" s="25">
        <v>10.49468791500664</v>
      </c>
      <c r="J116" s="25">
        <v>9.8722257450856059</v>
      </c>
      <c r="K116" s="25"/>
      <c r="L116" s="25"/>
      <c r="M116" s="25"/>
      <c r="N116" s="25"/>
      <c r="O116" s="25"/>
      <c r="P116" s="25"/>
      <c r="Q116" s="25"/>
    </row>
    <row r="117" spans="1:17" s="2" customFormat="1" ht="15">
      <c r="A117" s="10" t="s">
        <v>206</v>
      </c>
      <c r="B117" s="9" t="s">
        <v>233</v>
      </c>
      <c r="C117" s="10" t="s">
        <v>234</v>
      </c>
      <c r="D117" s="4">
        <v>29.59</v>
      </c>
      <c r="E117" s="29">
        <v>2013</v>
      </c>
      <c r="F117" s="25">
        <v>9.5515511796396062</v>
      </c>
      <c r="G117" s="25">
        <v>9.5941332658996075</v>
      </c>
      <c r="H117" s="25">
        <v>9.2851662404092075</v>
      </c>
      <c r="I117" s="25">
        <v>8.7060422329082172</v>
      </c>
      <c r="J117" s="25">
        <v>8.2175343526224118</v>
      </c>
      <c r="K117" s="25"/>
      <c r="L117" s="25"/>
      <c r="M117" s="25"/>
      <c r="N117" s="25"/>
      <c r="O117" s="25"/>
      <c r="P117" s="25"/>
      <c r="Q117" s="25"/>
    </row>
    <row r="118" spans="1:17" s="2" customFormat="1" ht="15">
      <c r="A118" s="10" t="s">
        <v>206</v>
      </c>
      <c r="B118" s="9" t="s">
        <v>235</v>
      </c>
      <c r="C118" s="10" t="s">
        <v>236</v>
      </c>
      <c r="D118" s="4">
        <v>29.75</v>
      </c>
      <c r="E118" s="29">
        <v>2014</v>
      </c>
      <c r="F118" s="25">
        <v>9.407753750243522</v>
      </c>
      <c r="G118" s="25">
        <v>9.4850695851911908</v>
      </c>
      <c r="H118" s="25">
        <v>9.2066612066612059</v>
      </c>
      <c r="I118" s="25">
        <v>8.5671058346604898</v>
      </c>
      <c r="J118" s="25">
        <v>8.181118406158026</v>
      </c>
      <c r="K118" s="25"/>
      <c r="L118" s="25"/>
      <c r="M118" s="25"/>
      <c r="N118" s="25"/>
      <c r="O118" s="25"/>
      <c r="P118" s="25"/>
      <c r="Q118" s="25"/>
    </row>
    <row r="119" spans="1:17" s="2" customFormat="1" ht="15">
      <c r="A119" s="10" t="s">
        <v>206</v>
      </c>
      <c r="B119" s="9" t="s">
        <v>237</v>
      </c>
      <c r="C119" s="10" t="s">
        <v>238</v>
      </c>
      <c r="D119" s="4">
        <v>27.53</v>
      </c>
      <c r="E119" s="29">
        <v>2014</v>
      </c>
      <c r="F119" s="25">
        <v>9.1725679542203142</v>
      </c>
      <c r="G119" s="25">
        <v>9.0382621133559802</v>
      </c>
      <c r="H119" s="25">
        <v>8.753305335199876</v>
      </c>
      <c r="I119" s="25">
        <v>8.4105691056910565</v>
      </c>
      <c r="J119" s="25">
        <v>7.797388288104468</v>
      </c>
      <c r="K119" s="25"/>
      <c r="L119" s="25"/>
      <c r="M119" s="25"/>
      <c r="N119" s="25"/>
      <c r="O119" s="25"/>
      <c r="P119" s="25"/>
      <c r="Q119" s="25"/>
    </row>
    <row r="120" spans="1:17" s="2" customFormat="1" ht="15">
      <c r="A120" s="10" t="s">
        <v>206</v>
      </c>
      <c r="B120" s="9" t="s">
        <v>239</v>
      </c>
      <c r="C120" s="10" t="s">
        <v>240</v>
      </c>
      <c r="D120" s="4">
        <v>2.5499999999999998</v>
      </c>
      <c r="E120" s="29">
        <v>2013</v>
      </c>
      <c r="F120" s="25">
        <v>10.779439252336449</v>
      </c>
      <c r="G120" s="25">
        <v>11.300859598853869</v>
      </c>
      <c r="H120" s="25">
        <v>10.301318267419962</v>
      </c>
      <c r="I120" s="25">
        <v>9.8291666666666675</v>
      </c>
      <c r="J120" s="25">
        <v>9.421994884910486</v>
      </c>
      <c r="K120" s="25"/>
      <c r="L120" s="25"/>
      <c r="M120" s="25"/>
      <c r="N120" s="25"/>
      <c r="O120" s="25"/>
      <c r="P120" s="25"/>
      <c r="Q120" s="25"/>
    </row>
    <row r="121" spans="1:17" s="2" customFormat="1" ht="15">
      <c r="A121" s="10" t="s">
        <v>206</v>
      </c>
      <c r="B121" s="9" t="s">
        <v>241</v>
      </c>
      <c r="C121" s="10" t="s">
        <v>242</v>
      </c>
      <c r="D121" s="4">
        <v>17.64</v>
      </c>
      <c r="E121" s="29">
        <v>2014</v>
      </c>
      <c r="F121" s="25">
        <v>11.124960254372018</v>
      </c>
      <c r="G121" s="25">
        <v>11.358065332995695</v>
      </c>
      <c r="H121" s="25">
        <v>10.308866863112778</v>
      </c>
      <c r="I121" s="25">
        <v>9.883495145631068</v>
      </c>
      <c r="J121" s="25">
        <v>9.477154724818277</v>
      </c>
      <c r="K121" s="25"/>
      <c r="L121" s="25"/>
      <c r="M121" s="25"/>
      <c r="N121" s="25"/>
      <c r="O121" s="25"/>
      <c r="P121" s="25"/>
      <c r="Q121" s="25"/>
    </row>
    <row r="122" spans="1:17" s="2" customFormat="1" ht="15">
      <c r="A122" s="10" t="s">
        <v>206</v>
      </c>
      <c r="B122" s="9" t="s">
        <v>243</v>
      </c>
      <c r="C122" s="10" t="s">
        <v>244</v>
      </c>
      <c r="D122" s="4">
        <v>3.81</v>
      </c>
      <c r="E122" s="29">
        <v>2013</v>
      </c>
      <c r="F122" s="25">
        <v>11.432900432900434</v>
      </c>
      <c r="G122" s="25">
        <v>11.762128325508607</v>
      </c>
      <c r="H122" s="25">
        <v>11.418691588785046</v>
      </c>
      <c r="I122" s="25">
        <v>10.476117103235747</v>
      </c>
      <c r="J122" s="25">
        <v>9.7888198757763973</v>
      </c>
      <c r="K122" s="25"/>
      <c r="L122" s="25"/>
      <c r="M122" s="25"/>
      <c r="N122" s="25"/>
      <c r="O122" s="25"/>
      <c r="P122" s="25"/>
      <c r="Q122" s="25"/>
    </row>
    <row r="123" spans="1:17" s="2" customFormat="1" ht="15">
      <c r="A123" s="10" t="s">
        <v>206</v>
      </c>
      <c r="B123" s="9" t="s">
        <v>245</v>
      </c>
      <c r="C123" s="10" t="s">
        <v>246</v>
      </c>
      <c r="D123" s="4">
        <v>15.59</v>
      </c>
      <c r="E123" s="28">
        <v>2014</v>
      </c>
      <c r="F123" s="25">
        <v>10.6474661630469</v>
      </c>
      <c r="G123" s="25">
        <v>11.015737161789067</v>
      </c>
      <c r="H123" s="25">
        <v>10.564718441419803</v>
      </c>
      <c r="I123" s="25">
        <v>9.9538904899135439</v>
      </c>
      <c r="J123" s="25">
        <v>9.2424999999999997</v>
      </c>
      <c r="K123" s="25"/>
      <c r="L123" s="25"/>
      <c r="M123" s="25"/>
      <c r="N123" s="25"/>
      <c r="O123" s="25"/>
      <c r="P123" s="25"/>
      <c r="Q123" s="25"/>
    </row>
    <row r="124" spans="1:17" s="2" customFormat="1" ht="15">
      <c r="A124" s="10" t="s">
        <v>206</v>
      </c>
      <c r="B124" s="9" t="s">
        <v>247</v>
      </c>
      <c r="C124" s="10" t="s">
        <v>248</v>
      </c>
      <c r="D124" s="4">
        <v>19.12</v>
      </c>
      <c r="E124" s="28">
        <v>2014</v>
      </c>
      <c r="F124" s="25">
        <v>10.764629388816646</v>
      </c>
      <c r="G124" s="25">
        <v>11.211604095563139</v>
      </c>
      <c r="H124" s="25">
        <v>10.870533402382186</v>
      </c>
      <c r="I124" s="25">
        <v>10.339325221238939</v>
      </c>
      <c r="J124" s="25">
        <v>9.5765503875968996</v>
      </c>
      <c r="K124" s="25"/>
      <c r="L124" s="25"/>
      <c r="M124" s="25"/>
      <c r="N124" s="25"/>
      <c r="O124" s="25"/>
      <c r="P124" s="25"/>
      <c r="Q124" s="25"/>
    </row>
    <row r="125" spans="1:17" s="2" customFormat="1" ht="15">
      <c r="A125" s="10" t="s">
        <v>206</v>
      </c>
      <c r="B125" s="9" t="s">
        <v>249</v>
      </c>
      <c r="C125" s="10" t="s">
        <v>250</v>
      </c>
      <c r="D125" s="4">
        <v>22.93</v>
      </c>
      <c r="E125" s="28">
        <v>2013</v>
      </c>
      <c r="F125" s="25">
        <v>11.064791133844842</v>
      </c>
      <c r="G125" s="25">
        <v>11.441806331471136</v>
      </c>
      <c r="H125" s="25">
        <v>10.863730863730863</v>
      </c>
      <c r="I125" s="25">
        <v>10.571879224876071</v>
      </c>
      <c r="J125" s="25">
        <v>9.7873677248677247</v>
      </c>
      <c r="K125" s="25"/>
      <c r="L125" s="25"/>
      <c r="M125" s="25"/>
      <c r="N125" s="25"/>
      <c r="O125" s="25"/>
      <c r="P125" s="25"/>
      <c r="Q125" s="25"/>
    </row>
    <row r="126" spans="1:17" s="2" customFormat="1" ht="15">
      <c r="A126" s="10" t="s">
        <v>206</v>
      </c>
      <c r="B126" s="9" t="s">
        <v>251</v>
      </c>
      <c r="C126" s="10" t="s">
        <v>252</v>
      </c>
      <c r="D126" s="4">
        <v>20.34</v>
      </c>
      <c r="E126" s="28">
        <v>2013</v>
      </c>
      <c r="F126" s="25">
        <v>10.785291479820629</v>
      </c>
      <c r="G126" s="25">
        <v>10.650643360038844</v>
      </c>
      <c r="H126" s="25">
        <v>10.318837675350702</v>
      </c>
      <c r="I126" s="25">
        <v>9.9853107344632761</v>
      </c>
      <c r="J126" s="25">
        <v>9.2606153846153845</v>
      </c>
      <c r="K126" s="25"/>
      <c r="L126" s="25"/>
      <c r="M126" s="25"/>
      <c r="N126" s="25"/>
      <c r="O126" s="25"/>
      <c r="P126" s="25"/>
      <c r="Q126" s="25"/>
    </row>
    <row r="127" spans="1:17" s="2" customFormat="1" ht="15">
      <c r="A127" s="10" t="s">
        <v>206</v>
      </c>
      <c r="B127" s="9" t="s">
        <v>253</v>
      </c>
      <c r="C127" s="10" t="s">
        <v>254</v>
      </c>
      <c r="D127" s="4">
        <v>19.87</v>
      </c>
      <c r="E127" s="29">
        <v>2014</v>
      </c>
      <c r="F127" s="25">
        <v>9.7648123021257351</v>
      </c>
      <c r="G127" s="25">
        <v>9.9015060240963848</v>
      </c>
      <c r="H127" s="25">
        <v>10.00488934637159</v>
      </c>
      <c r="I127" s="25">
        <v>9.3405756207674937</v>
      </c>
      <c r="J127" s="25">
        <v>8.7517401392111367</v>
      </c>
      <c r="K127" s="25"/>
      <c r="L127" s="25"/>
      <c r="M127" s="25"/>
      <c r="N127" s="25"/>
      <c r="O127" s="25"/>
      <c r="P127" s="25"/>
      <c r="Q127" s="25"/>
    </row>
    <row r="128" spans="1:17" s="2" customFormat="1" ht="15">
      <c r="A128" s="10" t="s">
        <v>206</v>
      </c>
      <c r="B128" s="9" t="s">
        <v>255</v>
      </c>
      <c r="C128" s="10" t="s">
        <v>256</v>
      </c>
      <c r="D128" s="4">
        <v>21.37</v>
      </c>
      <c r="E128" s="29">
        <v>2014</v>
      </c>
      <c r="F128" s="25">
        <v>9.7042191296664466</v>
      </c>
      <c r="G128" s="25">
        <v>9.6202171664943119</v>
      </c>
      <c r="H128" s="25">
        <v>10.121920135938828</v>
      </c>
      <c r="I128" s="25">
        <v>9.447066756574511</v>
      </c>
      <c r="J128" s="25">
        <v>8.4714941022280463</v>
      </c>
      <c r="K128" s="25"/>
      <c r="L128" s="25"/>
      <c r="M128" s="25"/>
      <c r="N128" s="25"/>
      <c r="O128" s="25"/>
      <c r="P128" s="25"/>
      <c r="Q128" s="25"/>
    </row>
    <row r="129" spans="1:17" s="2" customFormat="1" ht="15">
      <c r="A129" s="10" t="s">
        <v>206</v>
      </c>
      <c r="B129" s="9" t="s">
        <v>257</v>
      </c>
      <c r="C129" s="10" t="s">
        <v>258</v>
      </c>
      <c r="D129" s="4">
        <v>21.08</v>
      </c>
      <c r="E129" s="28">
        <v>2014</v>
      </c>
      <c r="F129" s="25">
        <v>10.492485833949248</v>
      </c>
      <c r="G129" s="25">
        <v>9.8267100977198698</v>
      </c>
      <c r="H129" s="25">
        <v>10.238840579710144</v>
      </c>
      <c r="I129" s="25">
        <v>9.8193530701754383</v>
      </c>
      <c r="J129" s="25">
        <v>8.8237995824634652</v>
      </c>
      <c r="K129" s="25"/>
      <c r="L129" s="25"/>
      <c r="M129" s="25"/>
      <c r="N129" s="25"/>
      <c r="O129" s="25"/>
      <c r="P129" s="25"/>
      <c r="Q129" s="25"/>
    </row>
    <row r="130" spans="1:17" s="2" customFormat="1" ht="15">
      <c r="A130" s="10" t="s">
        <v>206</v>
      </c>
      <c r="B130" s="9" t="s">
        <v>259</v>
      </c>
      <c r="C130" s="10" t="s">
        <v>260</v>
      </c>
      <c r="D130" s="4">
        <v>20.48</v>
      </c>
      <c r="E130" s="29">
        <v>2014</v>
      </c>
      <c r="F130" s="25">
        <v>10.621094615555062</v>
      </c>
      <c r="G130" s="25">
        <v>10.434855233853007</v>
      </c>
      <c r="H130" s="25">
        <v>10.249465431218816</v>
      </c>
      <c r="I130" s="25">
        <v>9.9630681818181817</v>
      </c>
      <c r="J130" s="25">
        <v>9.1848531684698607</v>
      </c>
      <c r="K130" s="25"/>
      <c r="L130" s="25"/>
      <c r="M130" s="25"/>
      <c r="N130" s="25"/>
      <c r="O130" s="25"/>
      <c r="P130" s="25"/>
      <c r="Q130" s="25"/>
    </row>
    <row r="131" spans="1:17" s="2" customFormat="1" ht="15">
      <c r="A131" s="10" t="s">
        <v>206</v>
      </c>
      <c r="B131" s="9" t="s">
        <v>261</v>
      </c>
      <c r="C131" s="10" t="s">
        <v>262</v>
      </c>
      <c r="D131" s="4">
        <v>18.84</v>
      </c>
      <c r="E131" s="29">
        <v>2014</v>
      </c>
      <c r="F131" s="25">
        <v>11.181030332209918</v>
      </c>
      <c r="G131" s="25">
        <v>11.028136882129278</v>
      </c>
      <c r="H131" s="25">
        <v>11.01391382405745</v>
      </c>
      <c r="I131" s="25">
        <v>11.447388342165027</v>
      </c>
      <c r="J131" s="25">
        <v>9.1376907763769086</v>
      </c>
      <c r="K131" s="25"/>
      <c r="L131" s="25"/>
      <c r="M131" s="25"/>
      <c r="N131" s="25"/>
      <c r="O131" s="25"/>
      <c r="P131" s="25"/>
      <c r="Q131" s="25"/>
    </row>
    <row r="132" spans="1:17" s="2" customFormat="1" ht="15">
      <c r="A132" s="10" t="s">
        <v>206</v>
      </c>
      <c r="B132" s="9" t="s">
        <v>263</v>
      </c>
      <c r="C132" s="10" t="s">
        <v>264</v>
      </c>
      <c r="D132" s="4">
        <v>18.350000000000001</v>
      </c>
      <c r="E132" s="29">
        <v>2014</v>
      </c>
      <c r="F132" s="25">
        <v>10.359022118742724</v>
      </c>
      <c r="G132" s="25">
        <v>10.507238459437312</v>
      </c>
      <c r="H132" s="25">
        <v>10.543218390804597</v>
      </c>
      <c r="I132" s="25">
        <v>10.204925241864556</v>
      </c>
      <c r="J132" s="25">
        <v>8.0617240156083714</v>
      </c>
      <c r="K132" s="25"/>
      <c r="L132" s="25"/>
      <c r="M132" s="25"/>
      <c r="N132" s="25"/>
      <c r="O132" s="25"/>
      <c r="P132" s="25"/>
      <c r="Q132" s="25"/>
    </row>
    <row r="133" spans="1:17" s="2" customFormat="1" ht="15">
      <c r="A133" s="10" t="s">
        <v>206</v>
      </c>
      <c r="B133" s="9" t="s">
        <v>265</v>
      </c>
      <c r="C133" s="10" t="s">
        <v>266</v>
      </c>
      <c r="D133" s="4">
        <v>18.25</v>
      </c>
      <c r="E133" s="29">
        <v>2014</v>
      </c>
      <c r="F133" s="25">
        <v>10.725977891156463</v>
      </c>
      <c r="G133" s="25">
        <v>10.430156121610517</v>
      </c>
      <c r="H133" s="25">
        <v>10.66</v>
      </c>
      <c r="I133" s="25">
        <v>10.235294117647058</v>
      </c>
      <c r="J133" s="25">
        <v>9.4396551724137936</v>
      </c>
      <c r="K133" s="25"/>
      <c r="L133" s="25"/>
      <c r="M133" s="25"/>
      <c r="N133" s="25"/>
      <c r="O133" s="25"/>
      <c r="P133" s="25"/>
      <c r="Q133" s="25"/>
    </row>
    <row r="134" spans="1:17" s="2" customFormat="1" ht="15">
      <c r="A134" s="10" t="s">
        <v>206</v>
      </c>
      <c r="B134" s="9" t="s">
        <v>267</v>
      </c>
      <c r="C134" s="10" t="s">
        <v>268</v>
      </c>
      <c r="D134" s="4">
        <v>5</v>
      </c>
      <c r="E134" s="29">
        <v>2014</v>
      </c>
      <c r="F134" s="25">
        <v>9.5104986876640414</v>
      </c>
      <c r="G134" s="25">
        <v>9.3664638269100742</v>
      </c>
      <c r="H134" s="25">
        <v>9.1999999999999993</v>
      </c>
      <c r="I134" s="25">
        <v>9.8751857355126305</v>
      </c>
      <c r="J134" s="25">
        <v>9.8778688524590166</v>
      </c>
      <c r="K134" s="25"/>
      <c r="L134" s="25"/>
      <c r="M134" s="25"/>
      <c r="N134" s="25"/>
      <c r="O134" s="25"/>
      <c r="P134" s="25"/>
      <c r="Q134" s="25"/>
    </row>
    <row r="135" spans="1:17" s="2" customFormat="1" ht="15">
      <c r="A135" s="10" t="s">
        <v>206</v>
      </c>
      <c r="B135" s="9" t="s">
        <v>269</v>
      </c>
      <c r="C135" s="10" t="s">
        <v>268</v>
      </c>
      <c r="D135" s="4">
        <v>17.38</v>
      </c>
      <c r="E135" s="29">
        <v>2013</v>
      </c>
      <c r="F135" s="25">
        <v>10.100469822912903</v>
      </c>
      <c r="G135" s="25">
        <v>10.011577424023155</v>
      </c>
      <c r="H135" s="25">
        <v>9.4217780840799445</v>
      </c>
      <c r="I135" s="25">
        <v>10.088694328130948</v>
      </c>
      <c r="J135" s="25">
        <v>9.5136336692353289</v>
      </c>
      <c r="K135" s="25"/>
      <c r="L135" s="25"/>
      <c r="M135" s="25"/>
      <c r="N135" s="25"/>
      <c r="O135" s="25"/>
      <c r="P135" s="25"/>
      <c r="Q135" s="25"/>
    </row>
    <row r="136" spans="1:17" s="2" customFormat="1" ht="15">
      <c r="A136" s="10" t="s">
        <v>206</v>
      </c>
      <c r="B136" s="9" t="s">
        <v>270</v>
      </c>
      <c r="C136" s="10" t="s">
        <v>271</v>
      </c>
      <c r="D136" s="4">
        <v>10.6</v>
      </c>
      <c r="E136" s="29">
        <v>2014</v>
      </c>
      <c r="F136" s="25">
        <v>10.843697478991597</v>
      </c>
      <c r="G136" s="25">
        <v>11.00033222591362</v>
      </c>
      <c r="H136" s="25">
        <v>9.6878680800942281</v>
      </c>
      <c r="I136" s="25">
        <v>10.316279069767441</v>
      </c>
      <c r="J136" s="25">
        <v>9.9667194928684619</v>
      </c>
      <c r="K136" s="25"/>
      <c r="L136" s="25"/>
      <c r="M136" s="25"/>
      <c r="N136" s="25"/>
      <c r="O136" s="25"/>
      <c r="P136" s="25"/>
      <c r="Q136" s="25"/>
    </row>
    <row r="137" spans="1:17" s="2" customFormat="1" ht="15">
      <c r="A137" s="10" t="s">
        <v>206</v>
      </c>
      <c r="B137" s="9" t="s">
        <v>272</v>
      </c>
      <c r="C137" s="10" t="s">
        <v>273</v>
      </c>
      <c r="D137" s="4">
        <v>16.79</v>
      </c>
      <c r="E137" s="29">
        <v>2014</v>
      </c>
      <c r="F137" s="25">
        <v>11.393924302788845</v>
      </c>
      <c r="G137" s="25">
        <v>11.662168792934249</v>
      </c>
      <c r="H137" s="25">
        <v>10.756362119315812</v>
      </c>
      <c r="I137" s="25">
        <v>11.254646840148698</v>
      </c>
      <c r="J137" s="25">
        <v>10.914017929910351</v>
      </c>
      <c r="K137" s="25"/>
      <c r="L137" s="25"/>
      <c r="M137" s="25"/>
      <c r="N137" s="25"/>
      <c r="O137" s="25"/>
      <c r="P137" s="25"/>
      <c r="Q137" s="25"/>
    </row>
    <row r="138" spans="1:17" s="2" customFormat="1" ht="15">
      <c r="A138" s="10" t="s">
        <v>206</v>
      </c>
      <c r="B138" s="9" t="s">
        <v>274</v>
      </c>
      <c r="C138" s="10" t="s">
        <v>275</v>
      </c>
      <c r="D138" s="4">
        <v>20.84</v>
      </c>
      <c r="E138" s="29">
        <v>2014</v>
      </c>
      <c r="F138" s="25">
        <v>10.64436090225564</v>
      </c>
      <c r="G138" s="25">
        <v>10.546543066821167</v>
      </c>
      <c r="H138" s="25">
        <v>9.9630829015544045</v>
      </c>
      <c r="I138" s="25">
        <v>10.284544777970726</v>
      </c>
      <c r="J138" s="25">
        <v>10.068092536010475</v>
      </c>
      <c r="K138" s="25"/>
      <c r="L138" s="25"/>
      <c r="M138" s="25"/>
      <c r="N138" s="25"/>
      <c r="O138" s="25"/>
      <c r="P138" s="25"/>
      <c r="Q138" s="25"/>
    </row>
    <row r="139" spans="1:17" s="2" customFormat="1" ht="15">
      <c r="A139" s="10" t="s">
        <v>206</v>
      </c>
      <c r="B139" s="9" t="s">
        <v>276</v>
      </c>
      <c r="C139" s="10" t="s">
        <v>277</v>
      </c>
      <c r="D139" s="4">
        <v>20.239999999999998</v>
      </c>
      <c r="E139" s="29">
        <v>2014</v>
      </c>
      <c r="F139" s="25">
        <v>10.819045608108109</v>
      </c>
      <c r="G139" s="25">
        <v>11.125063548551093</v>
      </c>
      <c r="H139" s="25">
        <v>10.777887788778878</v>
      </c>
      <c r="I139" s="25">
        <v>10.345643253680908</v>
      </c>
      <c r="J139" s="25">
        <v>10.274151436031332</v>
      </c>
      <c r="K139" s="25"/>
      <c r="L139" s="25"/>
      <c r="M139" s="25"/>
      <c r="N139" s="25"/>
      <c r="O139" s="25"/>
      <c r="P139" s="25"/>
      <c r="Q139" s="25"/>
    </row>
    <row r="140" spans="1:17" s="2" customFormat="1" ht="15">
      <c r="A140" s="10" t="s">
        <v>206</v>
      </c>
      <c r="B140" s="9" t="s">
        <v>278</v>
      </c>
      <c r="C140" s="10" t="s">
        <v>279</v>
      </c>
      <c r="D140" s="4">
        <v>16.21</v>
      </c>
      <c r="E140" s="29">
        <v>2014</v>
      </c>
      <c r="F140" s="25">
        <v>10.799701046337818</v>
      </c>
      <c r="G140" s="25">
        <v>11.011488383967322</v>
      </c>
      <c r="H140" s="25">
        <v>10.402723225975386</v>
      </c>
      <c r="I140" s="25">
        <v>9.5696457326892101</v>
      </c>
      <c r="J140" s="25">
        <v>9.7237140084115179</v>
      </c>
      <c r="K140" s="25"/>
      <c r="L140" s="25"/>
      <c r="M140" s="25"/>
      <c r="N140" s="25"/>
      <c r="O140" s="25"/>
      <c r="P140" s="25"/>
      <c r="Q140" s="25"/>
    </row>
    <row r="141" spans="1:17" s="2" customFormat="1" ht="15">
      <c r="A141" s="10" t="s">
        <v>206</v>
      </c>
      <c r="B141" s="9" t="s">
        <v>280</v>
      </c>
      <c r="C141" s="10" t="s">
        <v>281</v>
      </c>
      <c r="D141" s="4">
        <v>11.18</v>
      </c>
      <c r="E141" s="29">
        <v>2013</v>
      </c>
      <c r="F141" s="25">
        <v>12.375421506182091</v>
      </c>
      <c r="G141" s="25">
        <v>12.403662420382165</v>
      </c>
      <c r="H141" s="25">
        <v>12.0533381712627</v>
      </c>
      <c r="I141" s="25">
        <v>12.153800824985268</v>
      </c>
      <c r="J141" s="25">
        <v>11.571125265392782</v>
      </c>
      <c r="K141" s="25"/>
      <c r="L141" s="25"/>
      <c r="M141" s="25"/>
      <c r="N141" s="25"/>
      <c r="O141" s="25"/>
      <c r="P141" s="25"/>
      <c r="Q141" s="25"/>
    </row>
    <row r="142" spans="1:17" s="2" customFormat="1" ht="15">
      <c r="A142" s="10" t="s">
        <v>206</v>
      </c>
      <c r="B142" s="9" t="s">
        <v>282</v>
      </c>
      <c r="C142" s="10" t="s">
        <v>283</v>
      </c>
      <c r="D142" s="4">
        <v>1.56</v>
      </c>
      <c r="E142" s="29">
        <v>2014</v>
      </c>
      <c r="F142" s="25">
        <v>9.6231155778894468</v>
      </c>
      <c r="G142" s="25">
        <v>10.116751269035532</v>
      </c>
      <c r="H142" s="25">
        <v>9.5929648241206031</v>
      </c>
      <c r="I142" s="25">
        <v>9.4071428571428566</v>
      </c>
      <c r="J142" s="25">
        <v>9.5504587155963296</v>
      </c>
      <c r="K142" s="25"/>
      <c r="L142" s="25"/>
      <c r="M142" s="25"/>
      <c r="N142" s="25"/>
      <c r="O142" s="25"/>
      <c r="P142" s="25"/>
      <c r="Q142" s="25"/>
    </row>
    <row r="143" spans="1:17" s="2" customFormat="1" ht="15">
      <c r="A143" s="10" t="s">
        <v>206</v>
      </c>
      <c r="B143" s="9" t="s">
        <v>284</v>
      </c>
      <c r="C143" s="10" t="s">
        <v>285</v>
      </c>
      <c r="D143" s="4">
        <v>18.09</v>
      </c>
      <c r="E143" s="29">
        <v>2014</v>
      </c>
      <c r="F143" s="25">
        <v>11.055263157894737</v>
      </c>
      <c r="G143" s="25">
        <v>10.477991137370754</v>
      </c>
      <c r="H143" s="25">
        <v>10.501582994120307</v>
      </c>
      <c r="I143" s="25">
        <v>10.784567175871524</v>
      </c>
      <c r="J143" s="25">
        <v>9.7915936952714535</v>
      </c>
      <c r="K143" s="25"/>
      <c r="L143" s="25"/>
      <c r="M143" s="25"/>
      <c r="N143" s="25"/>
      <c r="O143" s="25"/>
      <c r="P143" s="25"/>
      <c r="Q143" s="25"/>
    </row>
    <row r="144" spans="1:17" s="2" customFormat="1" ht="15">
      <c r="A144" s="10" t="s">
        <v>206</v>
      </c>
      <c r="B144" s="9" t="s">
        <v>286</v>
      </c>
      <c r="C144" s="10" t="s">
        <v>287</v>
      </c>
      <c r="D144" s="4">
        <v>18.41</v>
      </c>
      <c r="E144" s="29">
        <v>2014</v>
      </c>
      <c r="F144" s="25">
        <v>11.282204724409448</v>
      </c>
      <c r="G144" s="25">
        <v>10.925524712254569</v>
      </c>
      <c r="H144" s="25">
        <v>11.176077885952711</v>
      </c>
      <c r="I144" s="25">
        <v>11.504117902037278</v>
      </c>
      <c r="J144" s="25">
        <v>10.803278688524591</v>
      </c>
      <c r="K144" s="25"/>
      <c r="L144" s="25"/>
      <c r="M144" s="25"/>
      <c r="N144" s="25"/>
      <c r="O144" s="25"/>
      <c r="P144" s="25"/>
      <c r="Q144" s="25"/>
    </row>
    <row r="145" spans="1:17" s="2" customFormat="1" ht="15">
      <c r="A145" s="10" t="s">
        <v>206</v>
      </c>
      <c r="B145" s="9" t="s">
        <v>288</v>
      </c>
      <c r="C145" s="10" t="s">
        <v>289</v>
      </c>
      <c r="D145" s="4">
        <v>22.45</v>
      </c>
      <c r="E145" s="29">
        <v>2014</v>
      </c>
      <c r="F145" s="25">
        <v>10.969225327201981</v>
      </c>
      <c r="G145" s="25">
        <v>10.497348886532343</v>
      </c>
      <c r="H145" s="25">
        <v>10.963868816008894</v>
      </c>
      <c r="I145" s="25">
        <v>11.200620017714792</v>
      </c>
      <c r="J145" s="25">
        <v>10.850654664484452</v>
      </c>
      <c r="K145" s="25"/>
      <c r="L145" s="25"/>
      <c r="M145" s="25"/>
      <c r="N145" s="25"/>
      <c r="O145" s="25"/>
      <c r="P145" s="25"/>
      <c r="Q145" s="25"/>
    </row>
    <row r="146" spans="1:17" s="2" customFormat="1" ht="15">
      <c r="A146" s="10" t="s">
        <v>206</v>
      </c>
      <c r="B146" s="9" t="s">
        <v>290</v>
      </c>
      <c r="C146" s="10" t="s">
        <v>291</v>
      </c>
      <c r="D146" s="4">
        <v>19.89</v>
      </c>
      <c r="E146" s="29">
        <v>2014</v>
      </c>
      <c r="F146" s="25">
        <v>11.0678391959799</v>
      </c>
      <c r="G146" s="25">
        <v>10.752630082456639</v>
      </c>
      <c r="H146" s="25">
        <v>10.966429524232993</v>
      </c>
      <c r="I146" s="25">
        <v>11.064971751412429</v>
      </c>
      <c r="J146" s="25">
        <v>10.827344992050874</v>
      </c>
      <c r="K146" s="25"/>
      <c r="L146" s="25"/>
      <c r="M146" s="25"/>
      <c r="N146" s="25"/>
      <c r="O146" s="25"/>
      <c r="P146" s="25"/>
      <c r="Q146" s="25"/>
    </row>
    <row r="147" spans="1:17" s="2" customFormat="1" ht="15">
      <c r="A147" s="10" t="s">
        <v>206</v>
      </c>
      <c r="B147" s="9" t="s">
        <v>292</v>
      </c>
      <c r="C147" s="10" t="s">
        <v>293</v>
      </c>
      <c r="D147" s="4">
        <v>8.4700000000000006</v>
      </c>
      <c r="E147" s="29">
        <v>2014</v>
      </c>
      <c r="F147" s="25">
        <v>10.715457413249212</v>
      </c>
      <c r="G147" s="25">
        <v>11.28069093152375</v>
      </c>
      <c r="H147" s="25">
        <v>10.810754912099275</v>
      </c>
      <c r="I147" s="25">
        <v>11.273524720893143</v>
      </c>
      <c r="J147" s="25">
        <v>10.446115288220552</v>
      </c>
      <c r="K147" s="25"/>
      <c r="L147" s="25"/>
      <c r="M147" s="25"/>
      <c r="N147" s="25"/>
      <c r="O147" s="25"/>
      <c r="P147" s="25"/>
      <c r="Q147" s="25"/>
    </row>
    <row r="148" spans="1:17" s="2" customFormat="1" ht="15">
      <c r="A148" s="10" t="s">
        <v>206</v>
      </c>
      <c r="B148" s="9" t="s">
        <v>294</v>
      </c>
      <c r="C148" s="10" t="s">
        <v>295</v>
      </c>
      <c r="D148" s="4">
        <v>8.9700000000000006</v>
      </c>
      <c r="E148" s="29">
        <v>2014</v>
      </c>
      <c r="F148" s="25">
        <v>11.945464982778416</v>
      </c>
      <c r="G148" s="25">
        <v>12.690557451649601</v>
      </c>
      <c r="H148" s="25">
        <v>12.473960821786909</v>
      </c>
      <c r="I148" s="25">
        <v>12.784313725490197</v>
      </c>
      <c r="J148" s="25">
        <v>11.480938416422287</v>
      </c>
      <c r="K148" s="25"/>
      <c r="L148" s="25"/>
      <c r="M148" s="25"/>
      <c r="N148" s="25"/>
      <c r="O148" s="25"/>
      <c r="P148" s="25"/>
      <c r="Q148" s="25"/>
    </row>
    <row r="149" spans="1:17" s="2" customFormat="1" ht="15">
      <c r="A149" s="10" t="s">
        <v>206</v>
      </c>
      <c r="B149" s="9" t="s">
        <v>296</v>
      </c>
      <c r="C149" s="10" t="s">
        <v>297</v>
      </c>
      <c r="D149" s="4">
        <v>6.95</v>
      </c>
      <c r="E149" s="29">
        <v>2014</v>
      </c>
      <c r="F149" s="25">
        <v>11.366733466933868</v>
      </c>
      <c r="G149" s="25">
        <v>11.986217457886676</v>
      </c>
      <c r="H149" s="25">
        <v>12.049855072463767</v>
      </c>
      <c r="I149" s="25">
        <v>12.066009852216748</v>
      </c>
      <c r="J149" s="25">
        <v>10.980013783597519</v>
      </c>
      <c r="K149" s="25"/>
      <c r="L149" s="25"/>
      <c r="M149" s="25"/>
      <c r="N149" s="25"/>
      <c r="O149" s="25"/>
      <c r="P149" s="25"/>
      <c r="Q149" s="25"/>
    </row>
    <row r="150" spans="1:17" s="2" customFormat="1" ht="15">
      <c r="A150" s="10" t="s">
        <v>206</v>
      </c>
      <c r="B150" s="9" t="s">
        <v>298</v>
      </c>
      <c r="C150" s="10" t="s">
        <v>299</v>
      </c>
      <c r="D150" s="4">
        <v>4.2</v>
      </c>
      <c r="E150" s="29">
        <v>2021</v>
      </c>
      <c r="F150" s="25">
        <v>10.291814946619217</v>
      </c>
      <c r="G150" s="25">
        <v>10.720689655172414</v>
      </c>
      <c r="H150" s="25">
        <v>9.6152882205513777</v>
      </c>
      <c r="I150" s="25">
        <v>10.50057803468208</v>
      </c>
      <c r="J150" s="25">
        <v>9.7893048128342244</v>
      </c>
      <c r="K150" s="25"/>
      <c r="L150" s="25"/>
      <c r="M150" s="25"/>
      <c r="N150" s="25"/>
      <c r="O150" s="25"/>
      <c r="P150" s="25"/>
      <c r="Q150" s="25"/>
    </row>
    <row r="151" spans="1:17" s="2" customFormat="1" ht="20.100000000000001" customHeight="1">
      <c r="A151" s="10" t="s">
        <v>300</v>
      </c>
      <c r="B151" s="9" t="s">
        <v>301</v>
      </c>
      <c r="C151" s="10" t="s">
        <v>302</v>
      </c>
      <c r="D151" s="4">
        <v>20.02</v>
      </c>
      <c r="E151" s="29">
        <v>2011</v>
      </c>
      <c r="F151" s="25">
        <v>16.033197437390797</v>
      </c>
      <c r="G151" s="25">
        <v>16.766288578211554</v>
      </c>
      <c r="H151" s="25">
        <v>16.91426486683692</v>
      </c>
      <c r="I151" s="25">
        <v>16.566956995100707</v>
      </c>
      <c r="J151" s="25">
        <v>15.495476687543494</v>
      </c>
      <c r="K151" s="25"/>
      <c r="L151" s="25"/>
      <c r="M151" s="25"/>
      <c r="N151" s="25"/>
      <c r="O151" s="25"/>
      <c r="P151" s="25"/>
      <c r="Q151" s="25"/>
    </row>
    <row r="152" spans="1:17" s="2" customFormat="1" ht="20.100000000000001" customHeight="1">
      <c r="A152" s="10" t="s">
        <v>300</v>
      </c>
      <c r="B152" s="9" t="s">
        <v>303</v>
      </c>
      <c r="C152" s="10" t="s">
        <v>304</v>
      </c>
      <c r="D152" s="4">
        <v>16.62</v>
      </c>
      <c r="E152" s="29">
        <v>2011</v>
      </c>
      <c r="F152" s="25">
        <v>15.89778534923339</v>
      </c>
      <c r="G152" s="25">
        <v>16.466445182724254</v>
      </c>
      <c r="H152" s="25">
        <v>15.506230529595015</v>
      </c>
      <c r="I152" s="25">
        <v>14.413830361966504</v>
      </c>
      <c r="J152" s="25">
        <v>12.904684975767367</v>
      </c>
      <c r="K152" s="25"/>
      <c r="L152" s="25"/>
      <c r="M152" s="25"/>
      <c r="N152" s="25"/>
      <c r="O152" s="25"/>
      <c r="P152" s="25"/>
      <c r="Q152" s="25"/>
    </row>
    <row r="153" spans="1:17" s="2" customFormat="1" ht="20.100000000000001" customHeight="1">
      <c r="A153" s="10" t="s">
        <v>300</v>
      </c>
      <c r="B153" s="9" t="s">
        <v>305</v>
      </c>
      <c r="C153" s="10" t="s">
        <v>306</v>
      </c>
      <c r="D153" s="4">
        <v>15.76</v>
      </c>
      <c r="E153" s="29">
        <v>2011</v>
      </c>
      <c r="F153" s="25">
        <v>14.720820863616931</v>
      </c>
      <c r="G153" s="25">
        <v>15.529976019184652</v>
      </c>
      <c r="H153" s="25">
        <v>14.986577181208053</v>
      </c>
      <c r="I153" s="25">
        <v>14.432667525773196</v>
      </c>
      <c r="J153" s="25">
        <v>13.510069872585285</v>
      </c>
      <c r="K153" s="25"/>
      <c r="L153" s="25"/>
      <c r="M153" s="25"/>
      <c r="N153" s="25"/>
      <c r="O153" s="25"/>
      <c r="P153" s="25"/>
      <c r="Q153" s="25"/>
    </row>
    <row r="154" spans="1:17" s="2" customFormat="1" ht="20.100000000000001" customHeight="1">
      <c r="A154" s="10" t="s">
        <v>300</v>
      </c>
      <c r="B154" s="9" t="s">
        <v>307</v>
      </c>
      <c r="C154" s="10" t="s">
        <v>308</v>
      </c>
      <c r="D154" s="4">
        <v>17.260000000000002</v>
      </c>
      <c r="E154" s="29">
        <v>2011</v>
      </c>
      <c r="F154" s="25">
        <v>15.784818481848184</v>
      </c>
      <c r="G154" s="25">
        <v>15.653974121996303</v>
      </c>
      <c r="H154" s="25">
        <v>14.714353275005912</v>
      </c>
      <c r="I154" s="25">
        <v>15.350016249593761</v>
      </c>
      <c r="J154" s="25">
        <v>14.088119042083237</v>
      </c>
      <c r="K154" s="25"/>
      <c r="L154" s="25"/>
      <c r="M154" s="25"/>
      <c r="N154" s="25"/>
      <c r="O154" s="25"/>
      <c r="P154" s="25"/>
      <c r="Q154" s="25"/>
    </row>
    <row r="155" spans="1:17" s="2" customFormat="1" ht="20.100000000000001" customHeight="1">
      <c r="A155" s="10" t="s">
        <v>300</v>
      </c>
      <c r="B155" s="9" t="s">
        <v>309</v>
      </c>
      <c r="C155" s="10" t="s">
        <v>310</v>
      </c>
      <c r="D155" s="4">
        <v>16.73</v>
      </c>
      <c r="E155" s="29">
        <v>2011</v>
      </c>
      <c r="F155" s="25">
        <v>15.640856153604028</v>
      </c>
      <c r="G155" s="25">
        <v>16.253375694996027</v>
      </c>
      <c r="H155" s="25">
        <v>15.68955904713634</v>
      </c>
      <c r="I155" s="25">
        <v>14.911400444585583</v>
      </c>
      <c r="J155" s="25">
        <v>14.175558867362145</v>
      </c>
      <c r="K155" s="25"/>
      <c r="L155" s="25"/>
      <c r="M155" s="25"/>
      <c r="N155" s="25"/>
      <c r="O155" s="25"/>
      <c r="P155" s="25"/>
      <c r="Q155" s="25"/>
    </row>
    <row r="156" spans="1:17" s="2" customFormat="1" ht="20.100000000000001" customHeight="1">
      <c r="A156" s="10" t="s">
        <v>300</v>
      </c>
      <c r="B156" s="9" t="s">
        <v>311</v>
      </c>
      <c r="C156" s="10" t="s">
        <v>312</v>
      </c>
      <c r="D156" s="4">
        <v>28.13</v>
      </c>
      <c r="E156" s="29">
        <v>2011</v>
      </c>
      <c r="F156" s="25">
        <v>14.861325837432654</v>
      </c>
      <c r="G156" s="25">
        <v>14.86849710982659</v>
      </c>
      <c r="H156" s="25">
        <v>14.407352062163778</v>
      </c>
      <c r="I156" s="25">
        <v>13.685073937153419</v>
      </c>
      <c r="J156" s="25">
        <v>12.733333333333333</v>
      </c>
      <c r="K156" s="25"/>
      <c r="L156" s="25"/>
      <c r="M156" s="25"/>
      <c r="N156" s="25"/>
      <c r="O156" s="25"/>
      <c r="P156" s="25"/>
      <c r="Q156" s="25"/>
    </row>
    <row r="157" spans="1:17" s="2" customFormat="1" ht="20.100000000000001" customHeight="1">
      <c r="A157" s="10" t="s">
        <v>300</v>
      </c>
      <c r="B157" s="9" t="s">
        <v>313</v>
      </c>
      <c r="C157" s="10" t="s">
        <v>314</v>
      </c>
      <c r="D157" s="4">
        <v>16.25</v>
      </c>
      <c r="E157" s="29">
        <v>2011</v>
      </c>
      <c r="F157" s="25">
        <v>13.86183844011142</v>
      </c>
      <c r="G157" s="25">
        <v>14.338257575757575</v>
      </c>
      <c r="H157" s="25">
        <v>13.838912133891213</v>
      </c>
      <c r="I157" s="25">
        <v>14.727760393383996</v>
      </c>
      <c r="J157" s="25">
        <v>13.442944785276074</v>
      </c>
      <c r="K157" s="25"/>
      <c r="L157" s="25"/>
      <c r="M157" s="25"/>
      <c r="N157" s="25"/>
      <c r="O157" s="25"/>
      <c r="P157" s="25"/>
      <c r="Q157" s="25"/>
    </row>
    <row r="158" spans="1:17" s="2" customFormat="1" ht="20.100000000000001" customHeight="1">
      <c r="A158" s="10" t="s">
        <v>300</v>
      </c>
      <c r="B158" s="9" t="s">
        <v>315</v>
      </c>
      <c r="C158" s="10" t="s">
        <v>316</v>
      </c>
      <c r="D158" s="4">
        <v>24.52</v>
      </c>
      <c r="E158" s="29">
        <v>2011</v>
      </c>
      <c r="F158" s="25">
        <v>13.702605570530098</v>
      </c>
      <c r="G158" s="25">
        <v>13.981675392670157</v>
      </c>
      <c r="H158" s="25">
        <v>13.821514534345491</v>
      </c>
      <c r="I158" s="25">
        <v>13.707776261937244</v>
      </c>
      <c r="J158" s="25">
        <v>12.355016538037486</v>
      </c>
      <c r="K158" s="25"/>
      <c r="L158" s="25"/>
      <c r="M158" s="25"/>
      <c r="N158" s="25"/>
      <c r="O158" s="25"/>
      <c r="P158" s="25"/>
      <c r="Q158" s="25"/>
    </row>
    <row r="159" spans="1:17" s="2" customFormat="1" ht="20.100000000000001" customHeight="1">
      <c r="A159" s="10" t="s">
        <v>300</v>
      </c>
      <c r="B159" s="9" t="s">
        <v>317</v>
      </c>
      <c r="C159" s="10" t="s">
        <v>318</v>
      </c>
      <c r="D159" s="4">
        <v>32.75</v>
      </c>
      <c r="E159" s="29">
        <v>2011</v>
      </c>
      <c r="F159" s="25">
        <v>14.832299465240641</v>
      </c>
      <c r="G159" s="25">
        <v>15.003235664209958</v>
      </c>
      <c r="H159" s="25">
        <v>14.115054895473003</v>
      </c>
      <c r="I159" s="25">
        <v>14.271381215469614</v>
      </c>
      <c r="J159" s="25">
        <v>12.819150603353707</v>
      </c>
      <c r="K159" s="25"/>
      <c r="L159" s="25"/>
      <c r="M159" s="25"/>
      <c r="N159" s="25"/>
      <c r="O159" s="25"/>
      <c r="P159" s="25"/>
      <c r="Q159" s="25"/>
    </row>
    <row r="160" spans="1:17" s="2" customFormat="1" ht="20.100000000000001" customHeight="1">
      <c r="A160" s="10" t="s">
        <v>300</v>
      </c>
      <c r="B160" s="9" t="s">
        <v>319</v>
      </c>
      <c r="C160" s="10" t="s">
        <v>320</v>
      </c>
      <c r="D160" s="4">
        <v>2.27</v>
      </c>
      <c r="E160" s="29">
        <v>2011</v>
      </c>
      <c r="F160" s="25">
        <v>13.806916426512968</v>
      </c>
      <c r="G160" s="25">
        <v>13.846820809248555</v>
      </c>
      <c r="H160" s="25">
        <v>14.531506849315068</v>
      </c>
      <c r="I160" s="25">
        <v>13.925257731958762</v>
      </c>
      <c r="J160" s="25">
        <v>13.176300578034683</v>
      </c>
      <c r="K160" s="25"/>
      <c r="L160" s="25"/>
      <c r="M160" s="25"/>
      <c r="N160" s="25"/>
      <c r="O160" s="25"/>
      <c r="P160" s="25"/>
      <c r="Q160" s="25"/>
    </row>
    <row r="161" spans="1:17" s="2" customFormat="1" ht="20.100000000000001" customHeight="1">
      <c r="A161" s="10" t="s">
        <v>300</v>
      </c>
      <c r="B161" s="9" t="s">
        <v>321</v>
      </c>
      <c r="C161" s="10" t="s">
        <v>322</v>
      </c>
      <c r="D161" s="4">
        <v>9.66</v>
      </c>
      <c r="E161" s="29">
        <v>2011</v>
      </c>
      <c r="F161" s="25">
        <v>13.876726886291179</v>
      </c>
      <c r="G161" s="25">
        <v>13.645400593471811</v>
      </c>
      <c r="H161" s="25">
        <v>13.985043622766931</v>
      </c>
      <c r="I161" s="25">
        <v>13.321964529331515</v>
      </c>
      <c r="J161" s="25">
        <v>12.128033980582524</v>
      </c>
      <c r="K161" s="25"/>
      <c r="L161" s="25"/>
      <c r="M161" s="25"/>
      <c r="N161" s="25"/>
      <c r="O161" s="25"/>
      <c r="P161" s="25"/>
      <c r="Q161" s="25"/>
    </row>
    <row r="162" spans="1:17" s="2" customFormat="1" ht="20.100000000000001" customHeight="1">
      <c r="A162" s="10" t="s">
        <v>300</v>
      </c>
      <c r="B162" s="9" t="s">
        <v>323</v>
      </c>
      <c r="C162" s="10" t="s">
        <v>324</v>
      </c>
      <c r="D162" s="4">
        <v>20.71</v>
      </c>
      <c r="E162" s="29">
        <v>2012</v>
      </c>
      <c r="F162" s="25">
        <v>12.654347248072321</v>
      </c>
      <c r="G162" s="25">
        <v>12.719976567076742</v>
      </c>
      <c r="H162" s="25">
        <v>12.304413673734315</v>
      </c>
      <c r="I162" s="25">
        <v>12.073256633012445</v>
      </c>
      <c r="J162" s="25">
        <v>11.155563306592256</v>
      </c>
      <c r="K162" s="25"/>
      <c r="L162" s="25"/>
      <c r="M162" s="25"/>
      <c r="N162" s="25"/>
      <c r="O162" s="25"/>
      <c r="P162" s="25"/>
      <c r="Q162" s="25"/>
    </row>
    <row r="163" spans="1:17" s="2" customFormat="1" ht="20.100000000000001" customHeight="1">
      <c r="A163" s="10" t="s">
        <v>300</v>
      </c>
      <c r="B163" s="9" t="s">
        <v>325</v>
      </c>
      <c r="C163" s="10" t="s">
        <v>326</v>
      </c>
      <c r="D163" s="4">
        <v>29.26</v>
      </c>
      <c r="E163" s="29">
        <v>2014</v>
      </c>
      <c r="F163" s="25">
        <v>11.012438183725461</v>
      </c>
      <c r="G163" s="25">
        <v>10.915744515628033</v>
      </c>
      <c r="H163" s="25">
        <v>10.525336091003103</v>
      </c>
      <c r="I163" s="25">
        <v>10.2447528774543</v>
      </c>
      <c r="J163" s="25">
        <v>9.5051873809019689</v>
      </c>
      <c r="K163" s="25"/>
      <c r="L163" s="25"/>
      <c r="M163" s="25"/>
      <c r="N163" s="25"/>
      <c r="O163" s="25"/>
      <c r="P163" s="25"/>
      <c r="Q163" s="25"/>
    </row>
    <row r="164" spans="1:17" s="2" customFormat="1" ht="20.100000000000001" customHeight="1">
      <c r="A164" s="10" t="s">
        <v>300</v>
      </c>
      <c r="B164" s="9" t="s">
        <v>327</v>
      </c>
      <c r="C164" s="10" t="s">
        <v>328</v>
      </c>
      <c r="D164" s="4">
        <v>29.08</v>
      </c>
      <c r="E164" s="29">
        <v>2014</v>
      </c>
      <c r="F164" s="25">
        <v>9.8737033666969971</v>
      </c>
      <c r="G164" s="25">
        <v>9.8519533927347496</v>
      </c>
      <c r="H164" s="25">
        <v>9.6400911161731209</v>
      </c>
      <c r="I164" s="25">
        <v>9.1708938254329198</v>
      </c>
      <c r="J164" s="25">
        <v>8.4488307230208104</v>
      </c>
      <c r="K164" s="25"/>
      <c r="L164" s="25"/>
      <c r="M164" s="25"/>
      <c r="N164" s="25"/>
      <c r="O164" s="25"/>
      <c r="P164" s="25"/>
      <c r="Q164" s="25"/>
    </row>
    <row r="165" spans="1:17" s="2" customFormat="1" ht="20.100000000000001" customHeight="1">
      <c r="A165" s="10" t="s">
        <v>300</v>
      </c>
      <c r="B165" s="9" t="s">
        <v>329</v>
      </c>
      <c r="C165" s="10" t="s">
        <v>330</v>
      </c>
      <c r="D165" s="4">
        <v>27.31</v>
      </c>
      <c r="E165" s="29">
        <v>2014</v>
      </c>
      <c r="F165" s="25">
        <v>10.646692745376956</v>
      </c>
      <c r="G165" s="25">
        <v>9.9236672889442019</v>
      </c>
      <c r="H165" s="25">
        <v>9.7757083731295769</v>
      </c>
      <c r="I165" s="25">
        <v>9.5815188528943178</v>
      </c>
      <c r="J165" s="25">
        <v>8.8472649775041443</v>
      </c>
      <c r="K165" s="25"/>
      <c r="L165" s="25"/>
      <c r="M165" s="25"/>
      <c r="N165" s="25"/>
      <c r="O165" s="25"/>
      <c r="P165" s="25"/>
      <c r="Q165" s="25"/>
    </row>
    <row r="166" spans="1:17" s="2" customFormat="1" ht="20.100000000000001" customHeight="1">
      <c r="A166" s="4" t="s">
        <v>300</v>
      </c>
      <c r="B166" s="3" t="s">
        <v>331</v>
      </c>
      <c r="C166" s="4" t="s">
        <v>332</v>
      </c>
      <c r="D166" s="4">
        <v>29.78</v>
      </c>
      <c r="E166" s="28">
        <v>2014</v>
      </c>
      <c r="F166" s="25">
        <v>11.753401360544217</v>
      </c>
      <c r="G166" s="25">
        <v>11.612811097511219</v>
      </c>
      <c r="H166" s="25">
        <v>11.205563413484205</v>
      </c>
      <c r="I166" s="25">
        <v>10.712309160305344</v>
      </c>
      <c r="J166" s="25">
        <v>9.6111731843575416</v>
      </c>
      <c r="K166" s="25"/>
      <c r="L166" s="25"/>
      <c r="M166" s="25"/>
      <c r="N166" s="25"/>
      <c r="O166" s="25"/>
      <c r="P166" s="25"/>
      <c r="Q166" s="25"/>
    </row>
    <row r="167" spans="1:17" s="2" customFormat="1" ht="20.100000000000001" customHeight="1">
      <c r="A167" s="4" t="s">
        <v>300</v>
      </c>
      <c r="B167" s="3" t="s">
        <v>333</v>
      </c>
      <c r="C167" s="4" t="s">
        <v>334</v>
      </c>
      <c r="D167" s="4">
        <v>15.43</v>
      </c>
      <c r="E167" s="28">
        <v>2014</v>
      </c>
      <c r="F167" s="25">
        <v>10.993475424097433</v>
      </c>
      <c r="G167" s="25">
        <v>10.805150631681244</v>
      </c>
      <c r="H167" s="25">
        <v>10.689142857142857</v>
      </c>
      <c r="I167" s="25">
        <v>9.9231717337715697</v>
      </c>
      <c r="J167" s="25">
        <v>8.8398983481575595</v>
      </c>
      <c r="K167" s="25"/>
      <c r="L167" s="25"/>
      <c r="M167" s="25"/>
      <c r="N167" s="25"/>
      <c r="O167" s="25"/>
      <c r="P167" s="25"/>
      <c r="Q167" s="25"/>
    </row>
    <row r="168" spans="1:17" s="2" customFormat="1" ht="20.100000000000001" customHeight="1">
      <c r="A168" s="4" t="s">
        <v>300</v>
      </c>
      <c r="B168" s="3" t="s">
        <v>335</v>
      </c>
      <c r="C168" s="4" t="s">
        <v>336</v>
      </c>
      <c r="D168" s="4">
        <v>13.9</v>
      </c>
      <c r="E168" s="28">
        <v>2011</v>
      </c>
      <c r="F168" s="25">
        <v>16.081143740340032</v>
      </c>
      <c r="G168" s="25">
        <v>16.842203548085902</v>
      </c>
      <c r="H168" s="25">
        <v>16.118628359592215</v>
      </c>
      <c r="I168" s="25">
        <v>15.695985401459854</v>
      </c>
      <c r="J168" s="25">
        <v>14.579331941544885</v>
      </c>
      <c r="K168" s="25"/>
      <c r="L168" s="25"/>
      <c r="M168" s="25"/>
      <c r="N168" s="25"/>
      <c r="O168" s="25"/>
      <c r="P168" s="25"/>
      <c r="Q168" s="25"/>
    </row>
    <row r="169" spans="1:17" s="2" customFormat="1" ht="20.100000000000001" customHeight="1">
      <c r="A169" s="4" t="s">
        <v>300</v>
      </c>
      <c r="B169" s="3" t="s">
        <v>337</v>
      </c>
      <c r="C169" s="4" t="s">
        <v>338</v>
      </c>
      <c r="D169" s="4">
        <v>5.93</v>
      </c>
      <c r="E169" s="28">
        <v>2013</v>
      </c>
      <c r="F169" s="25">
        <v>13.445590994371482</v>
      </c>
      <c r="G169" s="25">
        <v>13.219013237063779</v>
      </c>
      <c r="H169" s="25">
        <v>13.04633920296571</v>
      </c>
      <c r="I169" s="25">
        <v>12.38997555012225</v>
      </c>
      <c r="J169" s="25">
        <v>10.94066317626527</v>
      </c>
      <c r="K169" s="25"/>
      <c r="L169" s="25"/>
      <c r="M169" s="25"/>
      <c r="N169" s="25"/>
      <c r="O169" s="25"/>
      <c r="P169" s="25"/>
      <c r="Q169" s="25"/>
    </row>
    <row r="170" spans="1:17" s="2" customFormat="1" ht="20.100000000000001" customHeight="1">
      <c r="A170" s="4" t="s">
        <v>300</v>
      </c>
      <c r="B170" s="3" t="s">
        <v>339</v>
      </c>
      <c r="C170" s="4" t="s">
        <v>340</v>
      </c>
      <c r="D170" s="4">
        <v>28.48</v>
      </c>
      <c r="E170" s="28">
        <v>2011</v>
      </c>
      <c r="F170" s="25">
        <v>14.27815668202765</v>
      </c>
      <c r="G170" s="25">
        <v>13.907646176911545</v>
      </c>
      <c r="H170" s="25">
        <v>13.706781279847183</v>
      </c>
      <c r="I170" s="25">
        <v>13.238596491228071</v>
      </c>
      <c r="J170" s="25">
        <v>12.127351664254704</v>
      </c>
      <c r="K170" s="25"/>
      <c r="L170" s="25"/>
      <c r="M170" s="25"/>
      <c r="N170" s="25"/>
      <c r="O170" s="25"/>
      <c r="P170" s="25"/>
      <c r="Q170" s="25"/>
    </row>
    <row r="171" spans="1:17" s="2" customFormat="1" ht="20.100000000000001" customHeight="1">
      <c r="A171" s="4" t="s">
        <v>300</v>
      </c>
      <c r="B171" s="3" t="s">
        <v>341</v>
      </c>
      <c r="C171" s="4" t="s">
        <v>342</v>
      </c>
      <c r="D171" s="4">
        <v>26.61</v>
      </c>
      <c r="E171" s="28">
        <v>2011</v>
      </c>
      <c r="F171" s="25">
        <v>13.402035623409668</v>
      </c>
      <c r="G171" s="25">
        <v>13.202614379084967</v>
      </c>
      <c r="H171" s="25">
        <v>13.013680659670165</v>
      </c>
      <c r="I171" s="25">
        <v>11.580824320374159</v>
      </c>
      <c r="J171" s="25">
        <v>10.864448414470745</v>
      </c>
      <c r="K171" s="25"/>
      <c r="L171" s="25"/>
      <c r="M171" s="25"/>
      <c r="N171" s="25"/>
      <c r="O171" s="25"/>
      <c r="P171" s="25"/>
      <c r="Q171" s="25"/>
    </row>
    <row r="172" spans="1:17" s="2" customFormat="1" ht="20.100000000000001" customHeight="1">
      <c r="A172" s="4" t="s">
        <v>300</v>
      </c>
      <c r="B172" s="3" t="s">
        <v>343</v>
      </c>
      <c r="C172" s="4" t="s">
        <v>344</v>
      </c>
      <c r="D172" s="4">
        <v>33.06</v>
      </c>
      <c r="E172" s="28">
        <v>2013</v>
      </c>
      <c r="F172" s="25">
        <v>14.313289876280431</v>
      </c>
      <c r="G172" s="25">
        <v>13.879640438944666</v>
      </c>
      <c r="H172" s="25">
        <v>13.900166176658571</v>
      </c>
      <c r="I172" s="25">
        <v>13.045112781954888</v>
      </c>
      <c r="J172" s="25">
        <v>11.671003460207613</v>
      </c>
      <c r="K172" s="25"/>
      <c r="L172" s="25"/>
      <c r="M172" s="25"/>
      <c r="N172" s="25"/>
      <c r="O172" s="25"/>
      <c r="P172" s="25"/>
      <c r="Q172" s="25"/>
    </row>
    <row r="173" spans="1:17" s="2" customFormat="1" ht="20.100000000000001" customHeight="1">
      <c r="A173" s="4" t="s">
        <v>300</v>
      </c>
      <c r="B173" s="3" t="s">
        <v>345</v>
      </c>
      <c r="C173" s="4" t="s">
        <v>346</v>
      </c>
      <c r="D173" s="4">
        <v>18.16</v>
      </c>
      <c r="E173" s="28">
        <v>2011</v>
      </c>
      <c r="F173" s="25">
        <v>13.649155033063924</v>
      </c>
      <c r="G173" s="25">
        <v>13.474378488077118</v>
      </c>
      <c r="H173" s="25">
        <v>12.830205540661305</v>
      </c>
      <c r="I173" s="25">
        <v>13.501594896331738</v>
      </c>
      <c r="J173" s="25">
        <v>12.728426395939087</v>
      </c>
      <c r="K173" s="25"/>
      <c r="L173" s="25"/>
      <c r="M173" s="25"/>
      <c r="N173" s="25"/>
      <c r="O173" s="25"/>
      <c r="P173" s="25"/>
      <c r="Q173" s="25"/>
    </row>
    <row r="174" spans="1:17" s="2" customFormat="1" ht="20.100000000000001" customHeight="1">
      <c r="A174" s="4" t="s">
        <v>300</v>
      </c>
      <c r="B174" s="3" t="s">
        <v>347</v>
      </c>
      <c r="C174" s="4" t="s">
        <v>348</v>
      </c>
      <c r="D174" s="4">
        <v>16.239999999999998</v>
      </c>
      <c r="E174" s="28">
        <v>2011</v>
      </c>
      <c r="F174" s="25">
        <v>13.120387625792024</v>
      </c>
      <c r="G174" s="25">
        <v>13.177585726233621</v>
      </c>
      <c r="H174" s="25">
        <v>12.981346546196445</v>
      </c>
      <c r="I174" s="25">
        <v>12.655700766110861</v>
      </c>
      <c r="J174" s="25">
        <v>11.598014093529789</v>
      </c>
      <c r="K174" s="25"/>
      <c r="L174" s="25"/>
      <c r="M174" s="25"/>
      <c r="N174" s="25"/>
      <c r="O174" s="25"/>
      <c r="P174" s="25"/>
      <c r="Q174" s="25"/>
    </row>
    <row r="175" spans="1:17" s="2" customFormat="1" ht="20.100000000000001" customHeight="1">
      <c r="A175" s="4" t="s">
        <v>300</v>
      </c>
      <c r="B175" s="3" t="s">
        <v>349</v>
      </c>
      <c r="C175" s="4" t="s">
        <v>350</v>
      </c>
      <c r="D175" s="4">
        <v>5.28</v>
      </c>
      <c r="E175" s="28">
        <v>2013</v>
      </c>
      <c r="F175" s="25">
        <v>16.238787878787878</v>
      </c>
      <c r="G175" s="25">
        <v>15.546798029556649</v>
      </c>
      <c r="H175" s="25">
        <v>15.826382978723403</v>
      </c>
      <c r="I175" s="25">
        <v>15.352708058124174</v>
      </c>
      <c r="J175" s="25">
        <v>14.786497890295358</v>
      </c>
      <c r="K175" s="25"/>
      <c r="L175" s="25"/>
      <c r="M175" s="25"/>
      <c r="N175" s="25"/>
      <c r="O175" s="25"/>
      <c r="P175" s="25"/>
      <c r="Q175" s="25"/>
    </row>
    <row r="176" spans="1:17" s="2" customFormat="1" ht="20.100000000000001" customHeight="1">
      <c r="A176" s="4" t="s">
        <v>300</v>
      </c>
      <c r="B176" s="3" t="s">
        <v>351</v>
      </c>
      <c r="C176" s="4" t="s">
        <v>352</v>
      </c>
      <c r="D176" s="4">
        <v>13.9</v>
      </c>
      <c r="E176" s="28">
        <v>2011</v>
      </c>
      <c r="F176" s="25">
        <v>15.622756933115824</v>
      </c>
      <c r="G176" s="25">
        <v>14.752039891205802</v>
      </c>
      <c r="H176" s="25">
        <v>14.357254290171607</v>
      </c>
      <c r="I176" s="25">
        <v>13.858823529411765</v>
      </c>
      <c r="J176" s="25">
        <v>12.333462132921175</v>
      </c>
      <c r="K176" s="25"/>
      <c r="L176" s="25"/>
      <c r="M176" s="25"/>
      <c r="N176" s="25"/>
      <c r="O176" s="25"/>
      <c r="P176" s="25"/>
      <c r="Q176" s="25"/>
    </row>
    <row r="177" spans="1:17" s="2" customFormat="1" ht="20.100000000000001" customHeight="1">
      <c r="A177" s="4" t="s">
        <v>300</v>
      </c>
      <c r="B177" s="3" t="s">
        <v>353</v>
      </c>
      <c r="C177" s="4" t="s">
        <v>354</v>
      </c>
      <c r="D177" s="4">
        <v>9.17</v>
      </c>
      <c r="E177" s="29">
        <v>2011</v>
      </c>
      <c r="F177" s="25">
        <v>16</v>
      </c>
      <c r="G177" s="25">
        <v>16.277445109780437</v>
      </c>
      <c r="H177" s="25">
        <v>14.556579432362698</v>
      </c>
      <c r="I177" s="25">
        <v>14.591869918699187</v>
      </c>
      <c r="J177" s="25">
        <v>13.299938157081014</v>
      </c>
      <c r="K177" s="25"/>
      <c r="L177" s="25"/>
      <c r="M177" s="25"/>
      <c r="N177" s="25"/>
      <c r="O177" s="25"/>
      <c r="P177" s="25"/>
      <c r="Q177" s="25"/>
    </row>
    <row r="178" spans="1:17" s="2" customFormat="1" ht="20.100000000000001" customHeight="1">
      <c r="A178" s="4" t="s">
        <v>300</v>
      </c>
      <c r="B178" s="3" t="s">
        <v>355</v>
      </c>
      <c r="C178" s="4" t="s">
        <v>356</v>
      </c>
      <c r="D178" s="4">
        <v>21.74</v>
      </c>
      <c r="E178" s="28">
        <v>2013</v>
      </c>
      <c r="F178" s="25">
        <v>14.566920565832426</v>
      </c>
      <c r="G178" s="25">
        <v>14.61021222945997</v>
      </c>
      <c r="H178" s="25">
        <v>14.450849963045085</v>
      </c>
      <c r="I178" s="25">
        <v>14.580976863753213</v>
      </c>
      <c r="J178" s="25">
        <v>13.875679683638161</v>
      </c>
      <c r="K178" s="25"/>
      <c r="L178" s="25"/>
      <c r="M178" s="25"/>
      <c r="N178" s="25"/>
      <c r="O178" s="25"/>
      <c r="P178" s="25"/>
      <c r="Q178" s="25"/>
    </row>
    <row r="179" spans="1:17" s="2" customFormat="1" ht="20.100000000000001" customHeight="1">
      <c r="A179" s="4" t="s">
        <v>300</v>
      </c>
      <c r="B179" s="3" t="s">
        <v>357</v>
      </c>
      <c r="C179" s="4" t="s">
        <v>358</v>
      </c>
      <c r="D179" s="4">
        <v>15.830000000000002</v>
      </c>
      <c r="E179" s="29">
        <v>2014</v>
      </c>
      <c r="F179" s="25">
        <v>15.066252587991718</v>
      </c>
      <c r="G179" s="25">
        <v>15.387840670859539</v>
      </c>
      <c r="H179" s="25">
        <v>14.742808798646362</v>
      </c>
      <c r="I179" s="25">
        <v>14.314285714285715</v>
      </c>
      <c r="J179" s="25">
        <v>12.973684210526315</v>
      </c>
      <c r="K179" s="25"/>
      <c r="L179" s="25"/>
      <c r="M179" s="25"/>
      <c r="N179" s="25"/>
      <c r="O179" s="25"/>
      <c r="P179" s="25"/>
      <c r="Q179" s="25"/>
    </row>
    <row r="180" spans="1:17" s="2" customFormat="1" ht="20.100000000000001" customHeight="1">
      <c r="A180" s="4" t="s">
        <v>300</v>
      </c>
      <c r="B180" s="3" t="s">
        <v>359</v>
      </c>
      <c r="C180" s="4" t="s">
        <v>360</v>
      </c>
      <c r="D180" s="4">
        <v>18.260000000000002</v>
      </c>
      <c r="E180" s="29">
        <v>2013</v>
      </c>
      <c r="F180" s="25">
        <v>15.026877251316154</v>
      </c>
      <c r="G180" s="25">
        <v>15.125303713988199</v>
      </c>
      <c r="H180" s="25">
        <v>14.737055188578735</v>
      </c>
      <c r="I180" s="25">
        <v>14.201128349788435</v>
      </c>
      <c r="J180" s="25">
        <v>12.703352522858111</v>
      </c>
      <c r="K180" s="25"/>
      <c r="L180" s="25"/>
      <c r="M180" s="25"/>
      <c r="N180" s="25"/>
      <c r="O180" s="25"/>
      <c r="P180" s="25"/>
      <c r="Q180" s="25"/>
    </row>
    <row r="181" spans="1:17" s="2" customFormat="1" ht="20.100000000000001" customHeight="1">
      <c r="A181" s="4" t="s">
        <v>300</v>
      </c>
      <c r="B181" s="3" t="s">
        <v>361</v>
      </c>
      <c r="C181" s="4" t="s">
        <v>362</v>
      </c>
      <c r="D181" s="4">
        <v>20.350000000000001</v>
      </c>
      <c r="E181" s="29">
        <v>2013</v>
      </c>
      <c r="F181" s="25">
        <v>14.232774674115456</v>
      </c>
      <c r="G181" s="25">
        <v>14.551162169382849</v>
      </c>
      <c r="H181" s="25">
        <v>14.342308794041822</v>
      </c>
      <c r="I181" s="25">
        <v>14.54833836858006</v>
      </c>
      <c r="J181" s="25">
        <v>14.135093167701863</v>
      </c>
      <c r="K181" s="25"/>
      <c r="L181" s="25"/>
      <c r="M181" s="25"/>
      <c r="N181" s="25"/>
      <c r="O181" s="25"/>
      <c r="P181" s="25"/>
      <c r="Q181" s="25"/>
    </row>
    <row r="182" spans="1:17" s="2" customFormat="1" ht="20.100000000000001" customHeight="1">
      <c r="A182" s="4" t="s">
        <v>300</v>
      </c>
      <c r="B182" s="3" t="s">
        <v>363</v>
      </c>
      <c r="C182" s="4" t="s">
        <v>364</v>
      </c>
      <c r="D182" s="4">
        <v>19.12</v>
      </c>
      <c r="E182" s="29">
        <v>2013</v>
      </c>
      <c r="F182" s="25">
        <v>13.886728395061729</v>
      </c>
      <c r="G182" s="25">
        <v>13.285950413223141</v>
      </c>
      <c r="H182" s="25">
        <v>14.192563081009297</v>
      </c>
      <c r="I182" s="25">
        <v>14.350582147477361</v>
      </c>
      <c r="J182" s="25">
        <v>13.071323745230409</v>
      </c>
      <c r="K182" s="25"/>
      <c r="L182" s="25"/>
      <c r="M182" s="25"/>
      <c r="N182" s="25"/>
      <c r="O182" s="25"/>
      <c r="P182" s="25"/>
      <c r="Q182" s="25"/>
    </row>
    <row r="183" spans="1:17" s="2" customFormat="1" ht="20.100000000000001" customHeight="1">
      <c r="A183" s="4" t="s">
        <v>300</v>
      </c>
      <c r="B183" s="3" t="s">
        <v>365</v>
      </c>
      <c r="C183" s="4" t="s">
        <v>366</v>
      </c>
      <c r="D183" s="4">
        <v>22.37</v>
      </c>
      <c r="E183" s="29">
        <v>2013</v>
      </c>
      <c r="F183" s="25">
        <v>15.159780410286045</v>
      </c>
      <c r="G183" s="25">
        <v>13.486111111111111</v>
      </c>
      <c r="H183" s="25">
        <v>14.125272331154685</v>
      </c>
      <c r="I183" s="25">
        <v>15.487551213362748</v>
      </c>
      <c r="J183" s="25">
        <v>14.100154083204931</v>
      </c>
      <c r="K183" s="25"/>
      <c r="L183" s="25"/>
      <c r="M183" s="25"/>
      <c r="N183" s="25"/>
      <c r="O183" s="25"/>
      <c r="P183" s="25"/>
      <c r="Q183" s="25"/>
    </row>
    <row r="184" spans="1:17" s="2" customFormat="1" ht="20.100000000000001" customHeight="1">
      <c r="A184" s="4" t="s">
        <v>300</v>
      </c>
      <c r="B184" s="3" t="s">
        <v>367</v>
      </c>
      <c r="C184" s="4" t="s">
        <v>368</v>
      </c>
      <c r="D184" s="4">
        <v>20.079999999999998</v>
      </c>
      <c r="E184" s="29">
        <v>2014</v>
      </c>
      <c r="F184" s="25">
        <v>15.183378278989949</v>
      </c>
      <c r="G184" s="25">
        <v>15.727399488728794</v>
      </c>
      <c r="H184" s="25">
        <v>16.198248407643312</v>
      </c>
      <c r="I184" s="25">
        <v>15.5499176276771</v>
      </c>
      <c r="J184" s="25">
        <v>14.390753641545281</v>
      </c>
      <c r="K184" s="25"/>
      <c r="L184" s="25"/>
      <c r="M184" s="25"/>
      <c r="N184" s="25"/>
      <c r="O184" s="25"/>
      <c r="P184" s="25"/>
      <c r="Q184" s="25"/>
    </row>
    <row r="185" spans="1:17" s="2" customFormat="1" ht="20.100000000000001" customHeight="1">
      <c r="A185" s="4" t="s">
        <v>300</v>
      </c>
      <c r="B185" s="3" t="s">
        <v>369</v>
      </c>
      <c r="C185" s="4" t="s">
        <v>370</v>
      </c>
      <c r="D185" s="4">
        <v>4.28</v>
      </c>
      <c r="E185" s="29">
        <v>2014</v>
      </c>
      <c r="F185" s="25">
        <v>8.882162162162162</v>
      </c>
      <c r="G185" s="25">
        <v>9.4717145343777194</v>
      </c>
      <c r="H185" s="25">
        <v>9.8197932053175769</v>
      </c>
      <c r="I185" s="25">
        <v>9.0026881720430101</v>
      </c>
      <c r="J185" s="25">
        <v>9.0946843853820596</v>
      </c>
      <c r="K185" s="25"/>
      <c r="L185" s="25"/>
      <c r="M185" s="25"/>
      <c r="N185" s="25"/>
      <c r="O185" s="25"/>
      <c r="P185" s="25"/>
      <c r="Q185" s="25"/>
    </row>
    <row r="186" spans="1:17" s="2" customFormat="1" ht="20.100000000000001" customHeight="1">
      <c r="A186" s="4" t="s">
        <v>300</v>
      </c>
      <c r="B186" s="3" t="s">
        <v>371</v>
      </c>
      <c r="C186" s="4" t="s">
        <v>372</v>
      </c>
      <c r="D186" s="4">
        <v>3.62</v>
      </c>
      <c r="E186" s="29">
        <v>2014</v>
      </c>
      <c r="F186" s="25">
        <v>16.226541554959784</v>
      </c>
      <c r="G186" s="25">
        <v>16.032876712328768</v>
      </c>
      <c r="H186" s="25">
        <v>17.003838771593092</v>
      </c>
      <c r="I186" s="25">
        <v>16.028485757121441</v>
      </c>
      <c r="J186" s="25">
        <v>16.815789473684209</v>
      </c>
      <c r="K186" s="25"/>
      <c r="L186" s="25"/>
      <c r="M186" s="25"/>
      <c r="N186" s="25"/>
      <c r="O186" s="25"/>
      <c r="P186" s="25"/>
      <c r="Q186" s="25"/>
    </row>
    <row r="187" spans="1:17" s="2" customFormat="1" ht="20.100000000000001" customHeight="1">
      <c r="A187" s="4" t="s">
        <v>300</v>
      </c>
      <c r="B187" s="3" t="s">
        <v>373</v>
      </c>
      <c r="C187" s="4" t="s">
        <v>374</v>
      </c>
      <c r="D187" s="4">
        <v>7.23</v>
      </c>
      <c r="E187" s="29">
        <v>2014</v>
      </c>
      <c r="F187" s="25">
        <v>13.649859943977591</v>
      </c>
      <c r="G187" s="25">
        <v>13.563971992361553</v>
      </c>
      <c r="H187" s="25">
        <v>13.102888086642599</v>
      </c>
      <c r="I187" s="25">
        <v>13.472850678733032</v>
      </c>
      <c r="J187" s="25">
        <v>13.834545454545454</v>
      </c>
      <c r="K187" s="25"/>
      <c r="L187" s="25"/>
      <c r="M187" s="25"/>
      <c r="N187" s="25"/>
      <c r="O187" s="25"/>
      <c r="P187" s="25"/>
      <c r="Q187" s="25"/>
    </row>
    <row r="188" spans="1:17" s="2" customFormat="1" ht="20.100000000000001" customHeight="1">
      <c r="A188" s="4" t="s">
        <v>300</v>
      </c>
      <c r="B188" s="3" t="s">
        <v>375</v>
      </c>
      <c r="C188" s="4" t="s">
        <v>376</v>
      </c>
      <c r="D188" s="4">
        <v>10.28</v>
      </c>
      <c r="E188" s="29">
        <v>2014</v>
      </c>
      <c r="F188" s="25">
        <v>15.709695926563397</v>
      </c>
      <c r="G188" s="25">
        <v>15.617341640706126</v>
      </c>
      <c r="H188" s="25">
        <v>15.617354196301564</v>
      </c>
      <c r="I188" s="25">
        <v>15.234030837004406</v>
      </c>
      <c r="J188" s="25">
        <v>15.383617747440272</v>
      </c>
      <c r="K188" s="25"/>
      <c r="L188" s="25"/>
      <c r="M188" s="25"/>
      <c r="N188" s="25"/>
      <c r="O188" s="25"/>
      <c r="P188" s="25"/>
      <c r="Q188" s="25"/>
    </row>
    <row r="189" spans="1:17" s="2" customFormat="1" ht="20.100000000000001" customHeight="1">
      <c r="A189" s="4" t="s">
        <v>300</v>
      </c>
      <c r="B189" s="3" t="s">
        <v>377</v>
      </c>
      <c r="C189" s="4" t="s">
        <v>378</v>
      </c>
      <c r="D189" s="4">
        <v>12.5</v>
      </c>
      <c r="E189" s="29">
        <v>2014</v>
      </c>
      <c r="F189" s="25">
        <v>13.745421245421245</v>
      </c>
      <c r="G189" s="25">
        <v>13.278131634819532</v>
      </c>
      <c r="H189" s="25">
        <v>13.629350348027842</v>
      </c>
      <c r="I189" s="25">
        <v>13.802823529411764</v>
      </c>
      <c r="J189" s="25">
        <v>13.009225092250922</v>
      </c>
      <c r="K189" s="25"/>
      <c r="L189" s="25"/>
      <c r="M189" s="25"/>
      <c r="N189" s="25"/>
      <c r="O189" s="25"/>
      <c r="P189" s="25"/>
      <c r="Q189" s="25"/>
    </row>
    <row r="190" spans="1:17" s="2" customFormat="1" ht="20.100000000000001" customHeight="1">
      <c r="A190" s="4" t="s">
        <v>300</v>
      </c>
      <c r="B190" s="3" t="s">
        <v>379</v>
      </c>
      <c r="C190" s="4" t="s">
        <v>380</v>
      </c>
      <c r="D190" s="4">
        <v>18.78</v>
      </c>
      <c r="E190" s="29">
        <v>2014</v>
      </c>
      <c r="F190" s="25">
        <v>15.486129032258065</v>
      </c>
      <c r="G190" s="25">
        <v>15.480784111426361</v>
      </c>
      <c r="H190" s="25">
        <v>15.217447916666666</v>
      </c>
      <c r="I190" s="25">
        <v>15.983732057416267</v>
      </c>
      <c r="J190" s="25">
        <v>14.870314842578711</v>
      </c>
      <c r="K190" s="25"/>
      <c r="L190" s="25"/>
      <c r="M190" s="25"/>
      <c r="N190" s="25"/>
      <c r="O190" s="25"/>
      <c r="P190" s="25"/>
      <c r="Q190" s="25"/>
    </row>
    <row r="191" spans="1:17" s="2" customFormat="1" ht="20.100000000000001" customHeight="1">
      <c r="A191" s="4" t="s">
        <v>300</v>
      </c>
      <c r="B191" s="3" t="s">
        <v>381</v>
      </c>
      <c r="C191" s="4" t="s">
        <v>382</v>
      </c>
      <c r="D191" s="4">
        <v>18.8</v>
      </c>
      <c r="E191" s="29">
        <v>2014</v>
      </c>
      <c r="F191" s="25">
        <v>14.651070003627131</v>
      </c>
      <c r="G191" s="25">
        <v>14.91354556803995</v>
      </c>
      <c r="H191" s="25">
        <v>14.626115166261151</v>
      </c>
      <c r="I191" s="25">
        <v>14.309859154929578</v>
      </c>
      <c r="J191" s="25">
        <v>14.075287556639944</v>
      </c>
      <c r="K191" s="25"/>
      <c r="L191" s="25"/>
      <c r="M191" s="25"/>
      <c r="N191" s="25"/>
      <c r="O191" s="25"/>
      <c r="P191" s="25"/>
      <c r="Q191" s="25"/>
    </row>
    <row r="192" spans="1:17" s="2" customFormat="1" ht="20.100000000000001" customHeight="1">
      <c r="A192" s="4" t="s">
        <v>300</v>
      </c>
      <c r="B192" s="3">
        <v>394</v>
      </c>
      <c r="C192" s="4" t="s">
        <v>383</v>
      </c>
      <c r="D192" s="4">
        <v>30.1</v>
      </c>
      <c r="E192" s="29">
        <v>2014</v>
      </c>
      <c r="F192" s="25">
        <v>12.798314386515091</v>
      </c>
      <c r="G192" s="25">
        <v>13.257523253693234</v>
      </c>
      <c r="H192" s="25">
        <v>12.958317895516858</v>
      </c>
      <c r="I192" s="25">
        <v>13.174365482233503</v>
      </c>
      <c r="J192" s="25">
        <v>12.395514567176692</v>
      </c>
      <c r="K192" s="25"/>
      <c r="L192" s="25"/>
      <c r="M192" s="25"/>
      <c r="N192" s="25"/>
      <c r="O192" s="25"/>
      <c r="P192" s="25"/>
      <c r="Q192" s="25"/>
    </row>
    <row r="193" spans="1:17" s="2" customFormat="1" ht="20.100000000000001" customHeight="1">
      <c r="A193" s="4" t="s">
        <v>300</v>
      </c>
      <c r="B193" s="3">
        <v>240</v>
      </c>
      <c r="C193" s="4" t="s">
        <v>384</v>
      </c>
      <c r="D193" s="4">
        <v>3.72</v>
      </c>
      <c r="E193" s="29">
        <v>2015</v>
      </c>
      <c r="F193" s="25">
        <v>8.144285714285715</v>
      </c>
      <c r="G193" s="25">
        <v>8.3224932249322485</v>
      </c>
      <c r="H193" s="25">
        <v>8.4727954971857411</v>
      </c>
      <c r="I193" s="25">
        <v>8.0447761194029859</v>
      </c>
      <c r="J193" s="25">
        <v>7.55</v>
      </c>
      <c r="K193" s="25"/>
      <c r="L193" s="25"/>
      <c r="M193" s="25"/>
      <c r="N193" s="25"/>
      <c r="O193" s="25"/>
      <c r="P193" s="25"/>
      <c r="Q193" s="25"/>
    </row>
    <row r="194" spans="1:17" s="2" customFormat="1" ht="15">
      <c r="A194" s="4" t="s">
        <v>385</v>
      </c>
      <c r="B194" s="3" t="s">
        <v>386</v>
      </c>
      <c r="C194" s="4" t="s">
        <v>387</v>
      </c>
      <c r="D194" s="4">
        <v>17.84</v>
      </c>
      <c r="E194" s="29">
        <v>2014</v>
      </c>
      <c r="F194" s="25">
        <v>12.874206349206348</v>
      </c>
      <c r="G194" s="25">
        <v>12.454476479514415</v>
      </c>
      <c r="H194" s="25">
        <v>12.793429158110882</v>
      </c>
      <c r="I194" s="25">
        <v>12.368772067477442</v>
      </c>
      <c r="J194" s="25">
        <v>11.651428571428571</v>
      </c>
      <c r="K194" s="25"/>
      <c r="L194" s="25"/>
      <c r="M194" s="25"/>
      <c r="N194" s="25"/>
      <c r="O194" s="25"/>
      <c r="P194" s="25"/>
      <c r="Q194" s="25"/>
    </row>
    <row r="195" spans="1:17" s="2" customFormat="1" ht="15">
      <c r="A195" s="4" t="s">
        <v>385</v>
      </c>
      <c r="B195" s="3" t="s">
        <v>388</v>
      </c>
      <c r="C195" s="4" t="s">
        <v>389</v>
      </c>
      <c r="D195" s="4">
        <v>18.760000000000002</v>
      </c>
      <c r="E195" s="29">
        <v>2014</v>
      </c>
      <c r="F195" s="25">
        <v>13.236186348862406</v>
      </c>
      <c r="G195" s="25">
        <v>12.976819059884095</v>
      </c>
      <c r="H195" s="25">
        <v>13.15324384787472</v>
      </c>
      <c r="I195" s="25">
        <v>13.088831551787688</v>
      </c>
      <c r="J195" s="25">
        <v>12.087138863000932</v>
      </c>
      <c r="K195" s="25"/>
      <c r="L195" s="25"/>
      <c r="M195" s="25"/>
      <c r="N195" s="25"/>
      <c r="O195" s="25"/>
      <c r="P195" s="25"/>
      <c r="Q195" s="25"/>
    </row>
    <row r="196" spans="1:17" s="2" customFormat="1" ht="15">
      <c r="A196" s="4" t="s">
        <v>385</v>
      </c>
      <c r="B196" s="3" t="s">
        <v>390</v>
      </c>
      <c r="C196" s="4" t="s">
        <v>391</v>
      </c>
      <c r="D196" s="4">
        <v>19.850000000000001</v>
      </c>
      <c r="E196" s="29">
        <v>2014</v>
      </c>
      <c r="F196" s="25">
        <v>14.420929141248241</v>
      </c>
      <c r="G196" s="25">
        <v>14.674920634920635</v>
      </c>
      <c r="H196" s="25">
        <v>14.440281030444964</v>
      </c>
      <c r="I196" s="25">
        <v>15.018923933209647</v>
      </c>
      <c r="J196" s="25">
        <v>12.772062531517902</v>
      </c>
      <c r="K196" s="25"/>
      <c r="L196" s="25"/>
      <c r="M196" s="25"/>
      <c r="N196" s="25"/>
      <c r="O196" s="25"/>
      <c r="P196" s="25"/>
      <c r="Q196" s="25"/>
    </row>
    <row r="197" spans="1:17" s="2" customFormat="1" ht="15">
      <c r="A197" s="4" t="s">
        <v>385</v>
      </c>
      <c r="B197" s="3" t="s">
        <v>392</v>
      </c>
      <c r="C197" s="4" t="s">
        <v>393</v>
      </c>
      <c r="D197" s="4">
        <v>18.52</v>
      </c>
      <c r="E197" s="29">
        <v>2014</v>
      </c>
      <c r="F197" s="25">
        <v>15.407618213660244</v>
      </c>
      <c r="G197" s="25">
        <v>15.593310326519777</v>
      </c>
      <c r="H197" s="25">
        <v>15.482928546286519</v>
      </c>
      <c r="I197" s="25">
        <v>15.578720345075485</v>
      </c>
      <c r="J197" s="25">
        <v>13.441996402877697</v>
      </c>
      <c r="K197" s="25"/>
      <c r="L197" s="25"/>
      <c r="M197" s="25"/>
      <c r="N197" s="25"/>
      <c r="O197" s="25"/>
      <c r="P197" s="25"/>
      <c r="Q197" s="25"/>
    </row>
    <row r="198" spans="1:17" s="2" customFormat="1" ht="15">
      <c r="A198" s="4" t="s">
        <v>385</v>
      </c>
      <c r="B198" s="3" t="s">
        <v>394</v>
      </c>
      <c r="C198" s="4" t="s">
        <v>395</v>
      </c>
      <c r="D198" s="4">
        <v>22.97</v>
      </c>
      <c r="E198" s="29">
        <v>2014</v>
      </c>
      <c r="F198" s="25">
        <v>11.993009030002913</v>
      </c>
      <c r="G198" s="25">
        <v>11.9576150882174</v>
      </c>
      <c r="H198" s="25">
        <v>11.721422004290531</v>
      </c>
      <c r="I198" s="25">
        <v>12.353245261344055</v>
      </c>
      <c r="J198" s="25">
        <v>11.818030973451327</v>
      </c>
      <c r="K198" s="25"/>
      <c r="L198" s="25"/>
      <c r="M198" s="25"/>
      <c r="N198" s="25"/>
      <c r="O198" s="25"/>
      <c r="P198" s="25"/>
      <c r="Q198" s="25"/>
    </row>
    <row r="199" spans="1:17" s="2" customFormat="1" ht="15">
      <c r="A199" s="4" t="s">
        <v>385</v>
      </c>
      <c r="B199" s="3" t="s">
        <v>396</v>
      </c>
      <c r="C199" s="4" t="s">
        <v>397</v>
      </c>
      <c r="D199" s="4">
        <v>14.4</v>
      </c>
      <c r="E199" s="29">
        <v>2015</v>
      </c>
      <c r="F199" s="25">
        <v>12.141874462596732</v>
      </c>
      <c r="G199" s="25">
        <v>12.039458186101296</v>
      </c>
      <c r="H199" s="25">
        <v>11.844137931034483</v>
      </c>
      <c r="I199" s="25">
        <v>12.779112754158964</v>
      </c>
      <c r="J199" s="25">
        <v>12.876475548060709</v>
      </c>
      <c r="K199" s="25"/>
      <c r="L199" s="25"/>
      <c r="M199" s="25"/>
      <c r="N199" s="25"/>
      <c r="O199" s="25"/>
      <c r="P199" s="25"/>
      <c r="Q199" s="25"/>
    </row>
    <row r="200" spans="1:17" s="2" customFormat="1" ht="15">
      <c r="A200" s="4" t="s">
        <v>385</v>
      </c>
      <c r="B200" s="3" t="s">
        <v>398</v>
      </c>
      <c r="C200" s="4" t="s">
        <v>399</v>
      </c>
      <c r="D200" s="4">
        <v>9.32</v>
      </c>
      <c r="E200" s="29">
        <v>2014</v>
      </c>
      <c r="F200" s="25">
        <v>11.275064267352185</v>
      </c>
      <c r="G200" s="25">
        <v>11.047948854555141</v>
      </c>
      <c r="H200" s="25">
        <v>10.994331065759637</v>
      </c>
      <c r="I200" s="25">
        <v>11.328042328042327</v>
      </c>
      <c r="J200" s="25">
        <v>10.896768402154398</v>
      </c>
      <c r="K200" s="25"/>
      <c r="L200" s="25"/>
      <c r="M200" s="25"/>
      <c r="N200" s="25"/>
      <c r="O200" s="25"/>
      <c r="P200" s="25"/>
      <c r="Q200" s="25"/>
    </row>
    <row r="201" spans="1:17" s="2" customFormat="1" ht="15">
      <c r="A201" s="4" t="s">
        <v>385</v>
      </c>
      <c r="B201" s="3" t="s">
        <v>400</v>
      </c>
      <c r="C201" s="4" t="s">
        <v>401</v>
      </c>
      <c r="D201" s="4">
        <v>13.92</v>
      </c>
      <c r="E201" s="29">
        <v>2014</v>
      </c>
      <c r="F201" s="25">
        <v>11.258866544789763</v>
      </c>
      <c r="G201" s="25">
        <v>11.281148867313917</v>
      </c>
      <c r="H201" s="25">
        <v>10.751873071837814</v>
      </c>
      <c r="I201" s="25">
        <v>11.264739229024944</v>
      </c>
      <c r="J201" s="25">
        <v>10.766638584667229</v>
      </c>
      <c r="K201" s="25"/>
      <c r="L201" s="25"/>
      <c r="M201" s="25"/>
      <c r="N201" s="25"/>
      <c r="O201" s="25"/>
      <c r="P201" s="25"/>
      <c r="Q201" s="25"/>
    </row>
    <row r="202" spans="1:17" s="2" customFormat="1" ht="15">
      <c r="A202" s="4" t="s">
        <v>385</v>
      </c>
      <c r="B202" s="3" t="s">
        <v>402</v>
      </c>
      <c r="C202" s="4" t="s">
        <v>403</v>
      </c>
      <c r="D202" s="4">
        <v>17.11</v>
      </c>
      <c r="E202" s="29">
        <v>2014</v>
      </c>
      <c r="F202" s="25">
        <v>13.190613950498232</v>
      </c>
      <c r="G202" s="25">
        <v>12.453731343283582</v>
      </c>
      <c r="H202" s="25">
        <v>11.829741379310345</v>
      </c>
      <c r="I202" s="25">
        <v>11.585657370517929</v>
      </c>
      <c r="J202" s="25">
        <v>10.143806646525679</v>
      </c>
      <c r="K202" s="25"/>
      <c r="L202" s="25"/>
      <c r="M202" s="25"/>
      <c r="N202" s="25"/>
      <c r="O202" s="25"/>
      <c r="P202" s="25"/>
      <c r="Q202" s="25"/>
    </row>
    <row r="203" spans="1:17" s="2" customFormat="1" ht="15">
      <c r="A203" s="4" t="s">
        <v>385</v>
      </c>
      <c r="B203" s="3" t="s">
        <v>404</v>
      </c>
      <c r="C203" s="4" t="s">
        <v>405</v>
      </c>
      <c r="D203" s="4">
        <v>18.559999999999999</v>
      </c>
      <c r="E203" s="29">
        <v>2014</v>
      </c>
      <c r="F203" s="25">
        <v>10.328198433420365</v>
      </c>
      <c r="G203" s="25">
        <v>10.8125</v>
      </c>
      <c r="H203" s="25">
        <v>11.182532996349341</v>
      </c>
      <c r="I203" s="25">
        <v>10.993360733480873</v>
      </c>
      <c r="J203" s="25">
        <v>9.5753424657534243</v>
      </c>
      <c r="K203" s="25"/>
      <c r="L203" s="25"/>
      <c r="M203" s="25"/>
      <c r="N203" s="25"/>
      <c r="O203" s="25"/>
      <c r="P203" s="25"/>
      <c r="Q203" s="25"/>
    </row>
    <row r="204" spans="1:17" s="2" customFormat="1" ht="15">
      <c r="A204" s="4" t="s">
        <v>385</v>
      </c>
      <c r="B204" s="3" t="s">
        <v>406</v>
      </c>
      <c r="C204" s="4" t="s">
        <v>407</v>
      </c>
      <c r="D204" s="4">
        <v>18.52</v>
      </c>
      <c r="E204" s="29">
        <v>2014</v>
      </c>
      <c r="F204" s="25">
        <v>12.505400372439478</v>
      </c>
      <c r="G204" s="25">
        <v>12.361233480176212</v>
      </c>
      <c r="H204" s="25">
        <v>12.332625318606627</v>
      </c>
      <c r="I204" s="25">
        <v>11.892331132554597</v>
      </c>
      <c r="J204" s="25">
        <v>10.722855428914217</v>
      </c>
      <c r="K204" s="25"/>
      <c r="L204" s="25"/>
      <c r="M204" s="25"/>
      <c r="N204" s="25"/>
      <c r="O204" s="25"/>
      <c r="P204" s="25"/>
      <c r="Q204" s="25"/>
    </row>
    <row r="205" spans="1:17" s="2" customFormat="1" ht="15">
      <c r="A205" s="4" t="s">
        <v>385</v>
      </c>
      <c r="B205" s="3" t="s">
        <v>408</v>
      </c>
      <c r="C205" s="4" t="s">
        <v>409</v>
      </c>
      <c r="D205" s="4">
        <v>19.63</v>
      </c>
      <c r="E205" s="29">
        <v>2014</v>
      </c>
      <c r="F205" s="25">
        <v>14.385408406026963</v>
      </c>
      <c r="G205" s="25">
        <v>13.441732283464567</v>
      </c>
      <c r="H205" s="25">
        <v>14.122173472831589</v>
      </c>
      <c r="I205" s="25">
        <v>13.478188478188478</v>
      </c>
      <c r="J205" s="25">
        <v>13.564078578110383</v>
      </c>
      <c r="K205" s="25"/>
      <c r="L205" s="25"/>
      <c r="M205" s="25"/>
      <c r="N205" s="25"/>
      <c r="O205" s="25"/>
      <c r="P205" s="25"/>
      <c r="Q205" s="25"/>
    </row>
    <row r="206" spans="1:17" s="2" customFormat="1" ht="15">
      <c r="A206" s="4" t="s">
        <v>385</v>
      </c>
      <c r="B206" s="3" t="s">
        <v>410</v>
      </c>
      <c r="C206" s="4" t="s">
        <v>411</v>
      </c>
      <c r="D206" s="4">
        <v>6.38</v>
      </c>
      <c r="E206" s="29">
        <v>2014</v>
      </c>
      <c r="F206" s="25">
        <v>13.539622641509434</v>
      </c>
      <c r="G206" s="25">
        <v>14.505439330543933</v>
      </c>
      <c r="H206" s="25">
        <v>14.603191489361702</v>
      </c>
      <c r="I206" s="25">
        <v>13.854885057471265</v>
      </c>
      <c r="J206" s="25">
        <v>12.331697742885181</v>
      </c>
      <c r="K206" s="25"/>
      <c r="L206" s="25"/>
      <c r="M206" s="25"/>
      <c r="N206" s="25"/>
      <c r="O206" s="25"/>
      <c r="P206" s="25"/>
      <c r="Q206" s="25"/>
    </row>
    <row r="207" spans="1:17" s="2" customFormat="1" ht="15">
      <c r="A207" s="4" t="s">
        <v>385</v>
      </c>
      <c r="B207" s="3" t="s">
        <v>412</v>
      </c>
      <c r="C207" s="4" t="s">
        <v>413</v>
      </c>
      <c r="D207" s="4">
        <v>3.51</v>
      </c>
      <c r="E207" s="29">
        <v>2014</v>
      </c>
      <c r="F207" s="25">
        <v>12.925190839694656</v>
      </c>
      <c r="G207" s="25">
        <v>13.851296043656207</v>
      </c>
      <c r="H207" s="25">
        <v>13.934102141680395</v>
      </c>
      <c r="I207" s="25">
        <v>13.766859344894026</v>
      </c>
      <c r="J207" s="25">
        <v>12.532467532467532</v>
      </c>
      <c r="K207" s="25"/>
      <c r="L207" s="25"/>
      <c r="M207" s="25"/>
      <c r="N207" s="25"/>
      <c r="O207" s="25"/>
      <c r="P207" s="25"/>
      <c r="Q207" s="25"/>
    </row>
    <row r="208" spans="1:17" s="2" customFormat="1" ht="15">
      <c r="A208" s="4" t="s">
        <v>385</v>
      </c>
      <c r="B208" s="3" t="s">
        <v>414</v>
      </c>
      <c r="C208" s="4" t="s">
        <v>415</v>
      </c>
      <c r="D208" s="4">
        <v>0.59</v>
      </c>
      <c r="E208" s="29">
        <v>2014</v>
      </c>
      <c r="F208" s="25">
        <v>9.855670103092784</v>
      </c>
      <c r="G208" s="25">
        <v>10.279411764705882</v>
      </c>
      <c r="H208" s="25">
        <v>10.415841584158416</v>
      </c>
      <c r="I208" s="25">
        <v>10.328767123287671</v>
      </c>
      <c r="J208" s="25">
        <v>9.4659090909090917</v>
      </c>
      <c r="K208" s="25"/>
      <c r="L208" s="25"/>
      <c r="M208" s="25"/>
      <c r="N208" s="25"/>
      <c r="O208" s="25"/>
      <c r="P208" s="25"/>
      <c r="Q208" s="25"/>
    </row>
    <row r="209" spans="1:17" s="2" customFormat="1" ht="15">
      <c r="A209" s="4" t="s">
        <v>385</v>
      </c>
      <c r="B209" s="3" t="s">
        <v>416</v>
      </c>
      <c r="C209" s="4" t="s">
        <v>417</v>
      </c>
      <c r="D209" s="4">
        <v>18.59</v>
      </c>
      <c r="E209" s="29">
        <v>2014</v>
      </c>
      <c r="F209" s="25">
        <v>13.942868557730723</v>
      </c>
      <c r="G209" s="25">
        <v>13.509559434746468</v>
      </c>
      <c r="H209" s="25">
        <v>13.782217422606191</v>
      </c>
      <c r="I209" s="25">
        <v>13.156475503228256</v>
      </c>
      <c r="J209" s="25">
        <v>13.064556434818826</v>
      </c>
      <c r="K209" s="25"/>
      <c r="L209" s="25"/>
      <c r="M209" s="25"/>
      <c r="N209" s="25"/>
      <c r="O209" s="25"/>
      <c r="P209" s="25"/>
      <c r="Q209" s="25"/>
    </row>
    <row r="210" spans="1:17" s="2" customFormat="1" ht="15">
      <c r="A210" s="4" t="s">
        <v>385</v>
      </c>
      <c r="B210" s="3" t="s">
        <v>418</v>
      </c>
      <c r="C210" s="4" t="s">
        <v>419</v>
      </c>
      <c r="D210" s="4">
        <v>18.5</v>
      </c>
      <c r="E210" s="29">
        <v>2014</v>
      </c>
      <c r="F210" s="25">
        <v>14.34368932038835</v>
      </c>
      <c r="G210" s="25">
        <v>13.913954771097629</v>
      </c>
      <c r="H210" s="25">
        <v>13.641941747572815</v>
      </c>
      <c r="I210" s="25">
        <v>13.953422438234103</v>
      </c>
      <c r="J210" s="25">
        <v>12.820069204152249</v>
      </c>
      <c r="K210" s="25"/>
      <c r="L210" s="25"/>
      <c r="M210" s="25"/>
      <c r="N210" s="25"/>
      <c r="O210" s="25"/>
      <c r="P210" s="25"/>
      <c r="Q210" s="25"/>
    </row>
    <row r="211" spans="1:17" s="2" customFormat="1" ht="15">
      <c r="A211" s="4" t="s">
        <v>385</v>
      </c>
      <c r="B211" s="3" t="s">
        <v>420</v>
      </c>
      <c r="C211" s="4" t="s">
        <v>421</v>
      </c>
      <c r="D211" s="4">
        <v>18.05</v>
      </c>
      <c r="E211" s="29">
        <v>2014</v>
      </c>
      <c r="F211" s="25">
        <v>15.111073484591941</v>
      </c>
      <c r="G211" s="25">
        <v>14.020466993369848</v>
      </c>
      <c r="H211" s="25">
        <v>13.491649694501019</v>
      </c>
      <c r="I211" s="25">
        <v>13.720195729537366</v>
      </c>
      <c r="J211" s="25">
        <v>12.774562071591774</v>
      </c>
      <c r="K211" s="25"/>
      <c r="L211" s="25"/>
      <c r="M211" s="25"/>
      <c r="N211" s="25"/>
      <c r="O211" s="25"/>
      <c r="P211" s="25"/>
      <c r="Q211" s="25"/>
    </row>
    <row r="212" spans="1:17" s="2" customFormat="1" ht="15">
      <c r="A212" s="4" t="s">
        <v>385</v>
      </c>
      <c r="B212" s="3" t="s">
        <v>422</v>
      </c>
      <c r="C212" s="4" t="s">
        <v>423</v>
      </c>
      <c r="D212" s="4">
        <v>17.260000000000002</v>
      </c>
      <c r="E212" s="29">
        <v>2014</v>
      </c>
      <c r="F212" s="25">
        <v>13.16375312165537</v>
      </c>
      <c r="G212" s="25">
        <v>12.543299620733249</v>
      </c>
      <c r="H212" s="25">
        <v>12.378279118572928</v>
      </c>
      <c r="I212" s="25">
        <v>11.907484890748488</v>
      </c>
      <c r="J212" s="25">
        <v>11.898651789865179</v>
      </c>
      <c r="K212" s="25"/>
      <c r="L212" s="25"/>
      <c r="M212" s="25"/>
      <c r="N212" s="25"/>
      <c r="O212" s="25"/>
      <c r="P212" s="25"/>
      <c r="Q212" s="25"/>
    </row>
    <row r="213" spans="1:17" s="2" customFormat="1" ht="15">
      <c r="A213" s="4" t="s">
        <v>385</v>
      </c>
      <c r="B213" s="3" t="s">
        <v>424</v>
      </c>
      <c r="C213" s="4" t="s">
        <v>425</v>
      </c>
      <c r="D213" s="4">
        <v>13.12</v>
      </c>
      <c r="E213" s="29">
        <v>2014</v>
      </c>
      <c r="F213" s="25">
        <v>14.960035133948178</v>
      </c>
      <c r="G213" s="25">
        <v>14.397177419354838</v>
      </c>
      <c r="H213" s="25">
        <v>13.350498338870432</v>
      </c>
      <c r="I213" s="25">
        <v>12.598572213069742</v>
      </c>
      <c r="J213" s="25">
        <v>12.528491620111732</v>
      </c>
      <c r="K213" s="25"/>
      <c r="L213" s="25"/>
      <c r="M213" s="25"/>
      <c r="N213" s="25"/>
      <c r="O213" s="25"/>
      <c r="P213" s="25"/>
      <c r="Q213" s="25"/>
    </row>
    <row r="214" spans="1:17" s="2" customFormat="1" ht="15">
      <c r="A214" s="4" t="s">
        <v>385</v>
      </c>
      <c r="B214" s="3" t="s">
        <v>426</v>
      </c>
      <c r="C214" s="4" t="s">
        <v>427</v>
      </c>
      <c r="D214" s="4">
        <v>11.11</v>
      </c>
      <c r="E214" s="29">
        <v>2014</v>
      </c>
      <c r="F214" s="25">
        <v>13.056969696969697</v>
      </c>
      <c r="G214" s="25">
        <v>13.748167539267016</v>
      </c>
      <c r="H214" s="25">
        <v>13.501797268152409</v>
      </c>
      <c r="I214" s="25">
        <v>13.551451187335092</v>
      </c>
      <c r="J214" s="25">
        <v>12.800495662949194</v>
      </c>
      <c r="K214" s="25"/>
      <c r="L214" s="25"/>
      <c r="M214" s="25"/>
      <c r="N214" s="25"/>
      <c r="O214" s="25"/>
      <c r="P214" s="25"/>
      <c r="Q214" s="25"/>
    </row>
    <row r="215" spans="1:17" s="2" customFormat="1" ht="15">
      <c r="A215" s="4" t="s">
        <v>385</v>
      </c>
      <c r="B215" s="3" t="s">
        <v>428</v>
      </c>
      <c r="C215" s="4" t="s">
        <v>429</v>
      </c>
      <c r="D215" s="4">
        <v>7.62</v>
      </c>
      <c r="E215" s="29">
        <v>2014</v>
      </c>
      <c r="F215" s="25">
        <v>12.12339514978602</v>
      </c>
      <c r="G215" s="25">
        <v>12.806094182825484</v>
      </c>
      <c r="H215" s="25">
        <v>12.301754385964912</v>
      </c>
      <c r="I215" s="25">
        <v>12.167377398720681</v>
      </c>
      <c r="J215" s="25">
        <v>11.671125975473801</v>
      </c>
      <c r="K215" s="25"/>
      <c r="L215" s="25"/>
      <c r="M215" s="25"/>
      <c r="N215" s="25"/>
      <c r="O215" s="25"/>
      <c r="P215" s="25"/>
      <c r="Q215" s="25"/>
    </row>
    <row r="216" spans="1:17" s="2" customFormat="1" ht="15">
      <c r="A216" s="4" t="s">
        <v>385</v>
      </c>
      <c r="B216" s="3" t="s">
        <v>430</v>
      </c>
      <c r="C216" s="4" t="s">
        <v>431</v>
      </c>
      <c r="D216" s="4">
        <v>19.48</v>
      </c>
      <c r="E216" s="29">
        <v>2014</v>
      </c>
      <c r="F216" s="25">
        <v>10.92458374142997</v>
      </c>
      <c r="G216" s="25">
        <v>10.931494661921707</v>
      </c>
      <c r="H216" s="25">
        <v>10.411747516072472</v>
      </c>
      <c r="I216" s="25">
        <v>10.009250398724083</v>
      </c>
      <c r="J216" s="25">
        <v>9.3002324809033539</v>
      </c>
      <c r="K216" s="25"/>
      <c r="L216" s="25"/>
      <c r="M216" s="25"/>
      <c r="N216" s="25"/>
      <c r="O216" s="25"/>
      <c r="P216" s="25"/>
      <c r="Q216" s="25"/>
    </row>
    <row r="217" spans="1:17" s="2" customFormat="1" ht="15">
      <c r="A217" s="4" t="s">
        <v>385</v>
      </c>
      <c r="B217" s="3" t="s">
        <v>432</v>
      </c>
      <c r="C217" s="4" t="s">
        <v>433</v>
      </c>
      <c r="D217" s="4">
        <v>18.559999999999999</v>
      </c>
      <c r="E217" s="29">
        <v>2014</v>
      </c>
      <c r="F217" s="25">
        <v>10.871835443037975</v>
      </c>
      <c r="G217" s="25">
        <v>10.637624466571834</v>
      </c>
      <c r="H217" s="25">
        <v>10.705061777600637</v>
      </c>
      <c r="I217" s="25">
        <v>10.213798636181307</v>
      </c>
      <c r="J217" s="25">
        <v>8.9943267776096825</v>
      </c>
      <c r="K217" s="25"/>
      <c r="L217" s="25"/>
      <c r="M217" s="25"/>
      <c r="N217" s="25"/>
      <c r="O217" s="25"/>
      <c r="P217" s="25"/>
      <c r="Q217" s="25"/>
    </row>
    <row r="218" spans="1:17" s="2" customFormat="1" ht="15">
      <c r="A218" s="4" t="s">
        <v>385</v>
      </c>
      <c r="B218" s="3" t="s">
        <v>434</v>
      </c>
      <c r="C218" s="4" t="s">
        <v>435</v>
      </c>
      <c r="D218" s="4">
        <v>5.31</v>
      </c>
      <c r="E218" s="29">
        <v>2014</v>
      </c>
      <c r="F218" s="25">
        <v>11.405311778290994</v>
      </c>
      <c r="G218" s="25">
        <v>10.877840909090908</v>
      </c>
      <c r="H218" s="25">
        <v>10.023328149300156</v>
      </c>
      <c r="I218" s="25">
        <v>9.8028169014084501</v>
      </c>
      <c r="J218" s="25">
        <v>9.2864674868189798</v>
      </c>
      <c r="K218" s="25"/>
      <c r="L218" s="25"/>
      <c r="M218" s="25"/>
      <c r="N218" s="25"/>
      <c r="O218" s="25"/>
      <c r="P218" s="25"/>
      <c r="Q218" s="25"/>
    </row>
    <row r="219" spans="1:17" s="2" customFormat="1" ht="15">
      <c r="A219" s="4" t="s">
        <v>385</v>
      </c>
      <c r="B219" s="3" t="s">
        <v>436</v>
      </c>
      <c r="C219" s="4" t="s">
        <v>437</v>
      </c>
      <c r="D219" s="4">
        <v>17.329999999999998</v>
      </c>
      <c r="E219" s="29">
        <v>2014</v>
      </c>
      <c r="F219" s="25">
        <v>12.419113858835651</v>
      </c>
      <c r="G219" s="25">
        <v>12.161899472368786</v>
      </c>
      <c r="H219" s="25">
        <v>11.782097649186257</v>
      </c>
      <c r="I219" s="25">
        <v>11.979787598492635</v>
      </c>
      <c r="J219" s="25">
        <v>10.583715012722646</v>
      </c>
      <c r="K219" s="25"/>
      <c r="L219" s="25"/>
      <c r="M219" s="25"/>
      <c r="N219" s="25"/>
      <c r="O219" s="25"/>
      <c r="P219" s="25"/>
      <c r="Q219" s="25"/>
    </row>
    <row r="220" spans="1:17" s="2" customFormat="1" ht="15">
      <c r="A220" s="4" t="s">
        <v>385</v>
      </c>
      <c r="B220" s="3" t="s">
        <v>438</v>
      </c>
      <c r="C220" s="4" t="s">
        <v>439</v>
      </c>
      <c r="D220" s="4">
        <v>18.48</v>
      </c>
      <c r="E220" s="29">
        <v>2014</v>
      </c>
      <c r="F220" s="25">
        <v>11.095784252944823</v>
      </c>
      <c r="G220" s="25">
        <v>10.825903825903826</v>
      </c>
      <c r="H220" s="25">
        <v>10.650624540778839</v>
      </c>
      <c r="I220" s="25">
        <v>10.916701201823455</v>
      </c>
      <c r="J220" s="25">
        <v>10.836197021764033</v>
      </c>
      <c r="K220" s="25"/>
      <c r="L220" s="25"/>
      <c r="M220" s="25"/>
      <c r="N220" s="25"/>
      <c r="O220" s="25"/>
      <c r="P220" s="25"/>
      <c r="Q220" s="25"/>
    </row>
    <row r="221" spans="1:17" s="2" customFormat="1" ht="15">
      <c r="A221" s="4" t="s">
        <v>385</v>
      </c>
      <c r="B221" s="3" t="s">
        <v>440</v>
      </c>
      <c r="C221" s="4" t="s">
        <v>441</v>
      </c>
      <c r="D221" s="4">
        <v>18.98</v>
      </c>
      <c r="E221" s="29">
        <v>2014</v>
      </c>
      <c r="F221" s="25">
        <v>11.889185580774365</v>
      </c>
      <c r="G221" s="25">
        <v>11.250184683575474</v>
      </c>
      <c r="H221" s="25">
        <v>11.013091103393</v>
      </c>
      <c r="I221" s="25">
        <v>10.713766919775503</v>
      </c>
      <c r="J221" s="25">
        <v>9.9784845650140319</v>
      </c>
      <c r="K221" s="25"/>
      <c r="L221" s="25"/>
      <c r="M221" s="25"/>
      <c r="N221" s="25"/>
      <c r="O221" s="25"/>
      <c r="P221" s="25"/>
      <c r="Q221" s="25"/>
    </row>
    <row r="222" spans="1:17" s="2" customFormat="1" ht="15">
      <c r="A222" s="4" t="s">
        <v>385</v>
      </c>
      <c r="B222" s="3" t="s">
        <v>442</v>
      </c>
      <c r="C222" s="4" t="s">
        <v>443</v>
      </c>
      <c r="D222" s="4">
        <v>17.989999999999998</v>
      </c>
      <c r="E222" s="29">
        <v>2014</v>
      </c>
      <c r="F222" s="25">
        <v>12.148456057007126</v>
      </c>
      <c r="G222" s="25">
        <v>12.039177277179236</v>
      </c>
      <c r="H222" s="25">
        <v>11.808600064662141</v>
      </c>
      <c r="I222" s="25">
        <v>11.511593669488406</v>
      </c>
      <c r="J222" s="25">
        <v>9.9210810810810806</v>
      </c>
      <c r="K222" s="25"/>
      <c r="L222" s="25"/>
      <c r="M222" s="25"/>
      <c r="N222" s="25"/>
      <c r="O222" s="25"/>
      <c r="P222" s="25"/>
      <c r="Q222" s="25"/>
    </row>
    <row r="223" spans="1:17" s="2" customFormat="1" ht="15">
      <c r="A223" s="4" t="s">
        <v>385</v>
      </c>
      <c r="B223" s="3" t="s">
        <v>444</v>
      </c>
      <c r="C223" s="4" t="s">
        <v>445</v>
      </c>
      <c r="D223" s="4">
        <v>15.06</v>
      </c>
      <c r="E223" s="29">
        <v>2014</v>
      </c>
      <c r="F223" s="25">
        <v>11.62347614071752</v>
      </c>
      <c r="G223" s="25">
        <v>11.117305061559508</v>
      </c>
      <c r="H223" s="25">
        <v>11.002602472348732</v>
      </c>
      <c r="I223" s="25">
        <v>11.20415501398322</v>
      </c>
      <c r="J223" s="25">
        <v>10.206965572457966</v>
      </c>
      <c r="K223" s="25"/>
      <c r="L223" s="25"/>
      <c r="M223" s="25"/>
      <c r="N223" s="25"/>
      <c r="O223" s="25"/>
      <c r="P223" s="25"/>
      <c r="Q223" s="25"/>
    </row>
    <row r="224" spans="1:17" s="2" customFormat="1" ht="15">
      <c r="A224" s="4" t="s">
        <v>385</v>
      </c>
      <c r="B224" s="3" t="s">
        <v>446</v>
      </c>
      <c r="C224" s="4" t="s">
        <v>447</v>
      </c>
      <c r="D224" s="4">
        <v>12.77</v>
      </c>
      <c r="E224" s="29">
        <v>2014</v>
      </c>
      <c r="F224" s="25">
        <v>10.957657021877205</v>
      </c>
      <c r="G224" s="25">
        <v>10.332114118507681</v>
      </c>
      <c r="H224" s="25">
        <v>10.353072625698324</v>
      </c>
      <c r="I224" s="25">
        <v>10.737201365187714</v>
      </c>
      <c r="J224" s="25">
        <v>9.2898217366302465</v>
      </c>
      <c r="K224" s="25"/>
      <c r="L224" s="25"/>
      <c r="M224" s="25"/>
      <c r="N224" s="25"/>
      <c r="O224" s="25"/>
      <c r="P224" s="25"/>
      <c r="Q224" s="25"/>
    </row>
    <row r="225" spans="1:17" s="2" customFormat="1" ht="15">
      <c r="A225" s="4" t="s">
        <v>385</v>
      </c>
      <c r="B225" s="3" t="s">
        <v>448</v>
      </c>
      <c r="C225" s="4" t="s">
        <v>449</v>
      </c>
      <c r="D225" s="4">
        <v>10.98</v>
      </c>
      <c r="E225" s="29">
        <v>2014</v>
      </c>
      <c r="F225" s="25">
        <v>11.463983050847459</v>
      </c>
      <c r="G225" s="25">
        <v>11.132975871313674</v>
      </c>
      <c r="H225" s="25">
        <v>10.722406181015453</v>
      </c>
      <c r="I225" s="25">
        <v>10.637422892392049</v>
      </c>
      <c r="J225" s="25">
        <v>9.2190132370637787</v>
      </c>
      <c r="K225" s="25"/>
      <c r="L225" s="25"/>
      <c r="M225" s="25"/>
      <c r="N225" s="25"/>
      <c r="O225" s="25"/>
      <c r="P225" s="25"/>
      <c r="Q225" s="25"/>
    </row>
    <row r="226" spans="1:17" s="2" customFormat="1" ht="15">
      <c r="A226" s="4" t="s">
        <v>385</v>
      </c>
      <c r="B226" s="3" t="s">
        <v>450</v>
      </c>
      <c r="C226" s="4" t="s">
        <v>451</v>
      </c>
      <c r="D226" s="4">
        <v>6.73</v>
      </c>
      <c r="E226" s="29">
        <v>2014</v>
      </c>
      <c r="F226" s="25">
        <v>11.56140350877193</v>
      </c>
      <c r="G226" s="25">
        <v>11.410414827890556</v>
      </c>
      <c r="H226" s="25">
        <v>10.868821292775666</v>
      </c>
      <c r="I226" s="25">
        <v>10.934169278996865</v>
      </c>
      <c r="J226" s="25">
        <v>9.8748874887488753</v>
      </c>
      <c r="K226" s="25"/>
      <c r="L226" s="25"/>
      <c r="M226" s="25"/>
      <c r="N226" s="25"/>
      <c r="O226" s="25"/>
      <c r="P226" s="25"/>
      <c r="Q226" s="25"/>
    </row>
    <row r="227" spans="1:17" s="2" customFormat="1" ht="15">
      <c r="A227" s="4" t="s">
        <v>385</v>
      </c>
      <c r="B227" s="3" t="s">
        <v>452</v>
      </c>
      <c r="C227" s="4" t="s">
        <v>453</v>
      </c>
      <c r="D227" s="4">
        <v>5.87</v>
      </c>
      <c r="E227" s="29">
        <v>2014</v>
      </c>
      <c r="F227" s="25">
        <v>9.0256000000000007</v>
      </c>
      <c r="G227" s="25">
        <v>8.8174603174603181</v>
      </c>
      <c r="H227" s="25">
        <v>8.3644067796610173</v>
      </c>
      <c r="I227" s="25">
        <v>8.3931623931623935</v>
      </c>
      <c r="J227" s="25">
        <v>7.3230373230373234</v>
      </c>
      <c r="K227" s="25"/>
      <c r="L227" s="25"/>
      <c r="M227" s="25"/>
      <c r="N227" s="25"/>
      <c r="O227" s="25"/>
      <c r="P227" s="25"/>
      <c r="Q227" s="25"/>
    </row>
    <row r="228" spans="1:17" s="2" customFormat="1" ht="15">
      <c r="A228" s="4" t="s">
        <v>385</v>
      </c>
      <c r="B228" s="3" t="s">
        <v>454</v>
      </c>
      <c r="C228" s="4" t="s">
        <v>455</v>
      </c>
      <c r="D228" s="4">
        <v>19.739999999999998</v>
      </c>
      <c r="E228" s="29">
        <v>2014</v>
      </c>
      <c r="F228" s="25">
        <v>9.6468626856623221</v>
      </c>
      <c r="G228" s="25">
        <v>9.4083307996351468</v>
      </c>
      <c r="H228" s="25">
        <v>9.4756944444444446</v>
      </c>
      <c r="I228" s="25">
        <v>9.1752577319587623</v>
      </c>
      <c r="J228" s="25">
        <v>8.2734246575342461</v>
      </c>
      <c r="K228" s="25"/>
      <c r="L228" s="25"/>
      <c r="M228" s="25"/>
      <c r="N228" s="25"/>
      <c r="O228" s="25"/>
      <c r="P228" s="25"/>
      <c r="Q228" s="25"/>
    </row>
    <row r="229" spans="1:17" s="2" customFormat="1" ht="15">
      <c r="A229" s="4" t="s">
        <v>385</v>
      </c>
      <c r="B229" s="3" t="s">
        <v>456</v>
      </c>
      <c r="C229" s="4" t="s">
        <v>457</v>
      </c>
      <c r="D229" s="4">
        <v>18.73</v>
      </c>
      <c r="E229" s="29">
        <v>2014</v>
      </c>
      <c r="F229" s="25">
        <v>12.498340874811463</v>
      </c>
      <c r="G229" s="25">
        <v>13.457377610407395</v>
      </c>
      <c r="H229" s="25">
        <v>13.643898375676802</v>
      </c>
      <c r="I229" s="25">
        <v>13.081749049429657</v>
      </c>
      <c r="J229" s="25">
        <v>10.297626293365795</v>
      </c>
      <c r="K229" s="25"/>
      <c r="L229" s="25"/>
      <c r="M229" s="25"/>
      <c r="N229" s="25"/>
      <c r="O229" s="25"/>
      <c r="P229" s="25"/>
      <c r="Q229" s="25"/>
    </row>
    <row r="230" spans="1:17" s="2" customFormat="1" ht="15">
      <c r="A230" s="4" t="s">
        <v>385</v>
      </c>
      <c r="B230" s="3" t="s">
        <v>458</v>
      </c>
      <c r="C230" s="4" t="s">
        <v>459</v>
      </c>
      <c r="D230" s="4">
        <v>20.100000000000001</v>
      </c>
      <c r="E230" s="29">
        <v>2014</v>
      </c>
      <c r="F230" s="25">
        <v>10.321118991331756</v>
      </c>
      <c r="G230" s="25">
        <v>11.144731273804485</v>
      </c>
      <c r="H230" s="25">
        <v>11.096060203629925</v>
      </c>
      <c r="I230" s="25">
        <v>10.947260624679979</v>
      </c>
      <c r="J230" s="25">
        <v>8.8345642540620393</v>
      </c>
      <c r="K230" s="25"/>
      <c r="L230" s="25"/>
      <c r="M230" s="25"/>
      <c r="N230" s="25"/>
      <c r="O230" s="25"/>
      <c r="P230" s="25"/>
      <c r="Q230" s="25"/>
    </row>
    <row r="231" spans="1:17" s="2" customFormat="1" ht="15">
      <c r="A231" s="4" t="s">
        <v>385</v>
      </c>
      <c r="B231" s="3" t="s">
        <v>460</v>
      </c>
      <c r="C231" s="4" t="s">
        <v>461</v>
      </c>
      <c r="D231" s="4">
        <v>19.989999999999998</v>
      </c>
      <c r="E231" s="29">
        <v>2014</v>
      </c>
      <c r="F231" s="25">
        <v>11.404995539696699</v>
      </c>
      <c r="G231" s="25">
        <v>11.326014028667277</v>
      </c>
      <c r="H231" s="25">
        <v>10.944313988594432</v>
      </c>
      <c r="I231" s="25">
        <v>10.662447257383967</v>
      </c>
      <c r="J231" s="25">
        <v>9.5860679332181924</v>
      </c>
      <c r="K231" s="25"/>
      <c r="L231" s="25"/>
      <c r="M231" s="25"/>
      <c r="N231" s="25"/>
      <c r="O231" s="25"/>
      <c r="P231" s="25"/>
      <c r="Q231" s="25"/>
    </row>
    <row r="232" spans="1:17" s="2" customFormat="1" ht="15">
      <c r="A232" s="4" t="s">
        <v>385</v>
      </c>
      <c r="B232" s="3" t="s">
        <v>462</v>
      </c>
      <c r="C232" s="4" t="s">
        <v>463</v>
      </c>
      <c r="D232" s="4">
        <v>19.010000000000002</v>
      </c>
      <c r="E232" s="29">
        <v>2014</v>
      </c>
      <c r="F232" s="25">
        <v>10.74637037037037</v>
      </c>
      <c r="G232" s="25">
        <v>10.776946107784431</v>
      </c>
      <c r="H232" s="25">
        <v>10.40757470465601</v>
      </c>
      <c r="I232" s="25">
        <v>10.117764471057884</v>
      </c>
      <c r="J232" s="25">
        <v>9.6726001271455821</v>
      </c>
      <c r="K232" s="25"/>
      <c r="L232" s="25"/>
      <c r="M232" s="25"/>
      <c r="N232" s="25"/>
      <c r="O232" s="25"/>
      <c r="P232" s="25"/>
      <c r="Q232" s="25"/>
    </row>
    <row r="233" spans="1:17" s="2" customFormat="1" ht="15">
      <c r="A233" s="4" t="s">
        <v>385</v>
      </c>
      <c r="B233" s="3" t="s">
        <v>464</v>
      </c>
      <c r="C233" s="4" t="s">
        <v>465</v>
      </c>
      <c r="D233" s="4">
        <v>7.27</v>
      </c>
      <c r="E233" s="29">
        <v>2014</v>
      </c>
      <c r="F233" s="25">
        <v>12.426470588235293</v>
      </c>
      <c r="G233" s="25">
        <v>13.617336152219874</v>
      </c>
      <c r="H233" s="25">
        <v>14.186703096539162</v>
      </c>
      <c r="I233" s="25">
        <v>13.510714285714286</v>
      </c>
      <c r="J233" s="25">
        <v>13.410714285714286</v>
      </c>
      <c r="K233" s="25"/>
      <c r="L233" s="25"/>
      <c r="M233" s="25"/>
      <c r="N233" s="25"/>
      <c r="O233" s="25"/>
      <c r="P233" s="25"/>
      <c r="Q233" s="25"/>
    </row>
    <row r="234" spans="1:17" s="2" customFormat="1" ht="15">
      <c r="A234" s="4" t="s">
        <v>385</v>
      </c>
      <c r="B234" s="3" t="s">
        <v>466</v>
      </c>
      <c r="C234" s="4" t="s">
        <v>467</v>
      </c>
      <c r="D234" s="4">
        <v>16.05</v>
      </c>
      <c r="E234" s="29">
        <v>2015</v>
      </c>
      <c r="F234" s="25">
        <v>10.373980726464048</v>
      </c>
      <c r="G234" s="25">
        <v>10.219401288366806</v>
      </c>
      <c r="H234" s="25">
        <v>10.846090534979425</v>
      </c>
      <c r="I234" s="25">
        <v>9.9131759329779126</v>
      </c>
      <c r="J234" s="25">
        <v>9.454887218045112</v>
      </c>
      <c r="K234" s="25"/>
      <c r="L234" s="25"/>
      <c r="M234" s="25"/>
      <c r="N234" s="25"/>
      <c r="O234" s="25"/>
      <c r="P234" s="25"/>
      <c r="Q234" s="25"/>
    </row>
    <row r="235" spans="1:17" s="2" customFormat="1" ht="15">
      <c r="A235" s="4" t="s">
        <v>385</v>
      </c>
      <c r="B235" s="3" t="s">
        <v>468</v>
      </c>
      <c r="C235" s="4" t="s">
        <v>469</v>
      </c>
      <c r="D235" s="4">
        <v>22.13</v>
      </c>
      <c r="E235" s="29">
        <v>2015</v>
      </c>
      <c r="F235" s="25">
        <v>8.9105914718019257</v>
      </c>
      <c r="G235" s="25">
        <v>9.065640429857682</v>
      </c>
      <c r="H235" s="25">
        <v>9.7315270935960587</v>
      </c>
      <c r="I235" s="25">
        <v>8.3853859752504416</v>
      </c>
      <c r="J235" s="25">
        <v>7.3908780903665816</v>
      </c>
      <c r="K235" s="25"/>
      <c r="L235" s="25"/>
      <c r="M235" s="25"/>
      <c r="N235" s="25"/>
      <c r="O235" s="25"/>
      <c r="P235" s="25"/>
      <c r="Q235" s="25"/>
    </row>
    <row r="236" spans="1:17" s="2" customFormat="1" ht="15">
      <c r="A236" s="4" t="s">
        <v>385</v>
      </c>
      <c r="B236" s="3" t="s">
        <v>470</v>
      </c>
      <c r="C236" s="4" t="s">
        <v>471</v>
      </c>
      <c r="D236" s="4">
        <v>20.059999999999999</v>
      </c>
      <c r="E236" s="29">
        <v>2015</v>
      </c>
      <c r="F236" s="25">
        <v>9.3639279546015306</v>
      </c>
      <c r="G236" s="25">
        <v>10.100641848523749</v>
      </c>
      <c r="H236" s="25">
        <v>10.235483870967743</v>
      </c>
      <c r="I236" s="25">
        <v>9.3661971830985919</v>
      </c>
      <c r="J236" s="25">
        <v>8.1633663366336631</v>
      </c>
      <c r="K236" s="25"/>
      <c r="L236" s="25"/>
      <c r="M236" s="25"/>
      <c r="N236" s="25"/>
      <c r="O236" s="25"/>
      <c r="P236" s="25"/>
      <c r="Q236" s="25"/>
    </row>
    <row r="237" spans="1:17" s="2" customFormat="1" ht="15">
      <c r="A237" s="4" t="s">
        <v>385</v>
      </c>
      <c r="B237" s="3" t="s">
        <v>472</v>
      </c>
      <c r="C237" s="4" t="s">
        <v>473</v>
      </c>
      <c r="D237" s="4">
        <v>18.36</v>
      </c>
      <c r="E237" s="29">
        <v>2015</v>
      </c>
      <c r="F237" s="25">
        <v>9.5532413434001562</v>
      </c>
      <c r="G237" s="25">
        <v>8.8345191040843218</v>
      </c>
      <c r="H237" s="25">
        <v>9.5523367040174918</v>
      </c>
      <c r="I237" s="25">
        <v>9.3282097649186255</v>
      </c>
      <c r="J237" s="25">
        <v>9.121788772597526</v>
      </c>
      <c r="K237" s="25"/>
      <c r="L237" s="25"/>
      <c r="M237" s="25"/>
      <c r="N237" s="25"/>
      <c r="O237" s="25"/>
      <c r="P237" s="25"/>
      <c r="Q237" s="25"/>
    </row>
    <row r="238" spans="1:17" s="2" customFormat="1" ht="15">
      <c r="A238" s="4" t="s">
        <v>385</v>
      </c>
      <c r="B238" s="3" t="s">
        <v>474</v>
      </c>
      <c r="C238" s="4" t="s">
        <v>475</v>
      </c>
      <c r="D238" s="4">
        <v>19.45</v>
      </c>
      <c r="E238" s="29">
        <v>2015</v>
      </c>
      <c r="F238" s="25">
        <v>10.662772825084538</v>
      </c>
      <c r="G238" s="25">
        <v>10.377490878473196</v>
      </c>
      <c r="H238" s="25">
        <v>11.377335375191425</v>
      </c>
      <c r="I238" s="25">
        <v>10.869375419744795</v>
      </c>
      <c r="J238" s="25">
        <v>9.6791083462934164</v>
      </c>
      <c r="K238" s="25"/>
      <c r="L238" s="25"/>
      <c r="M238" s="25"/>
      <c r="N238" s="25"/>
      <c r="O238" s="25"/>
      <c r="P238" s="25"/>
      <c r="Q238" s="25"/>
    </row>
    <row r="239" spans="1:17" s="2" customFormat="1" ht="15">
      <c r="A239" s="4" t="s">
        <v>385</v>
      </c>
      <c r="B239" s="3" t="s">
        <v>476</v>
      </c>
      <c r="C239" s="4" t="s">
        <v>477</v>
      </c>
      <c r="D239" s="4">
        <v>19.18</v>
      </c>
      <c r="E239" s="29">
        <v>2015</v>
      </c>
      <c r="F239" s="25">
        <v>9.6190845616757183</v>
      </c>
      <c r="G239" s="25">
        <v>9.8875578546147569</v>
      </c>
      <c r="H239" s="25">
        <v>10.024153248195447</v>
      </c>
      <c r="I239" s="25">
        <v>9.8125955365331698</v>
      </c>
      <c r="J239" s="25">
        <v>9.9389002036659875</v>
      </c>
      <c r="K239" s="25"/>
      <c r="L239" s="25"/>
      <c r="M239" s="25"/>
      <c r="N239" s="25"/>
      <c r="O239" s="25"/>
      <c r="P239" s="25"/>
      <c r="Q239" s="25"/>
    </row>
    <row r="240" spans="1:17" s="2" customFormat="1" ht="15">
      <c r="A240" s="4" t="s">
        <v>385</v>
      </c>
      <c r="B240" s="3" t="s">
        <v>478</v>
      </c>
      <c r="C240" s="4" t="s">
        <v>479</v>
      </c>
      <c r="D240" s="4">
        <v>5.1100000000000003</v>
      </c>
      <c r="E240" s="29">
        <v>2015</v>
      </c>
      <c r="F240" s="25">
        <v>10.035115722266561</v>
      </c>
      <c r="G240" s="25">
        <v>10.296594982078853</v>
      </c>
      <c r="H240" s="25">
        <v>11.02962962962963</v>
      </c>
      <c r="I240" s="25">
        <v>10.610010427528676</v>
      </c>
      <c r="J240" s="25">
        <v>9.7308868501529044</v>
      </c>
      <c r="K240" s="25"/>
      <c r="L240" s="25"/>
      <c r="M240" s="25"/>
      <c r="N240" s="25"/>
      <c r="O240" s="25"/>
      <c r="P240" s="25"/>
      <c r="Q240" s="25"/>
    </row>
    <row r="241" spans="1:17" s="2" customFormat="1" ht="15">
      <c r="A241" s="4" t="s">
        <v>385</v>
      </c>
      <c r="B241" s="3" t="s">
        <v>480</v>
      </c>
      <c r="C241" s="4" t="s">
        <v>481</v>
      </c>
      <c r="D241" s="4">
        <v>4.21</v>
      </c>
      <c r="E241" s="29">
        <v>2015</v>
      </c>
      <c r="F241" s="25">
        <v>8.6919889502762437</v>
      </c>
      <c r="G241" s="25">
        <v>9.2970588235294116</v>
      </c>
      <c r="H241" s="25">
        <v>10.109028960817717</v>
      </c>
      <c r="I241" s="25">
        <v>9.8175787728026531</v>
      </c>
      <c r="J241" s="25">
        <v>8.9759519038076157</v>
      </c>
      <c r="K241" s="25"/>
      <c r="L241" s="25"/>
      <c r="M241" s="25"/>
      <c r="N241" s="25"/>
      <c r="O241" s="25"/>
      <c r="P241" s="25"/>
      <c r="Q241" s="25"/>
    </row>
    <row r="242" spans="1:17" s="2" customFormat="1" ht="15">
      <c r="A242" s="4" t="s">
        <v>385</v>
      </c>
      <c r="B242" s="3" t="s">
        <v>482</v>
      </c>
      <c r="C242" s="4" t="s">
        <v>483</v>
      </c>
      <c r="D242" s="4">
        <v>8.1199999999999992</v>
      </c>
      <c r="E242" s="29">
        <v>2015</v>
      </c>
      <c r="F242" s="25">
        <v>8.2797619047619051</v>
      </c>
      <c r="G242" s="25">
        <v>8.5427323767935128</v>
      </c>
      <c r="H242" s="25">
        <v>9.1352395672333842</v>
      </c>
      <c r="I242" s="25">
        <v>9.1310638297872337</v>
      </c>
      <c r="J242" s="25">
        <v>8.3745624270711794</v>
      </c>
      <c r="K242" s="25"/>
      <c r="L242" s="25"/>
      <c r="M242" s="25"/>
      <c r="N242" s="25"/>
      <c r="O242" s="25"/>
      <c r="P242" s="25"/>
      <c r="Q242" s="25"/>
    </row>
    <row r="243" spans="1:17" s="2" customFormat="1" ht="15">
      <c r="A243" s="4" t="s">
        <v>385</v>
      </c>
      <c r="B243" s="3" t="s">
        <v>484</v>
      </c>
      <c r="C243" s="4" t="s">
        <v>485</v>
      </c>
      <c r="D243" s="4">
        <v>22.68</v>
      </c>
      <c r="E243" s="29">
        <v>2015</v>
      </c>
      <c r="F243" s="25">
        <v>10.553837953091685</v>
      </c>
      <c r="G243" s="25">
        <v>10.24373021670319</v>
      </c>
      <c r="H243" s="25">
        <v>10.688222430490471</v>
      </c>
      <c r="I243" s="25">
        <v>10.558039552880482</v>
      </c>
      <c r="J243" s="25">
        <v>9.8369098712446359</v>
      </c>
      <c r="K243" s="25"/>
      <c r="L243" s="25"/>
      <c r="M243" s="25"/>
      <c r="N243" s="25"/>
      <c r="O243" s="25"/>
      <c r="P243" s="25"/>
      <c r="Q243" s="25"/>
    </row>
    <row r="244" spans="1:17" s="2" customFormat="1" ht="15">
      <c r="A244" s="4" t="s">
        <v>385</v>
      </c>
      <c r="B244" s="3" t="s">
        <v>486</v>
      </c>
      <c r="C244" s="4" t="s">
        <v>487</v>
      </c>
      <c r="D244" s="4">
        <v>2.17</v>
      </c>
      <c r="E244" s="29">
        <v>2014</v>
      </c>
      <c r="F244" s="25">
        <v>10.52923076923077</v>
      </c>
      <c r="G244" s="25">
        <v>9.9261744966442951</v>
      </c>
      <c r="H244" s="25">
        <v>9.9684210526315784</v>
      </c>
      <c r="I244" s="25">
        <v>9.076576576576576</v>
      </c>
      <c r="J244" s="25">
        <v>8.7920353982300892</v>
      </c>
      <c r="K244" s="25"/>
      <c r="L244" s="25"/>
      <c r="M244" s="25"/>
      <c r="N244" s="25"/>
      <c r="O244" s="25"/>
      <c r="P244" s="25"/>
      <c r="Q244" s="25"/>
    </row>
    <row r="245" spans="1:17" s="2" customFormat="1" ht="15">
      <c r="A245" s="4" t="s">
        <v>385</v>
      </c>
      <c r="B245" s="3" t="s">
        <v>488</v>
      </c>
      <c r="C245" s="4" t="s">
        <v>479</v>
      </c>
      <c r="D245" s="4">
        <v>3.38</v>
      </c>
      <c r="E245" s="29">
        <v>2021</v>
      </c>
      <c r="F245" s="25">
        <v>5.9235668789808917</v>
      </c>
      <c r="G245" s="25">
        <v>5.7380952380952381</v>
      </c>
      <c r="H245" s="25">
        <v>5.5661874070401582</v>
      </c>
      <c r="I245" s="25">
        <v>5.3411028993746443</v>
      </c>
      <c r="J245" s="25">
        <v>5.8954423592493299</v>
      </c>
      <c r="K245" s="25"/>
      <c r="L245" s="25"/>
      <c r="M245" s="25"/>
      <c r="N245" s="25"/>
      <c r="O245" s="25"/>
      <c r="P245" s="25"/>
      <c r="Q245" s="25"/>
    </row>
    <row r="246" spans="1:17" s="2" customFormat="1" ht="15">
      <c r="A246" s="4" t="s">
        <v>385</v>
      </c>
      <c r="B246" s="3" t="s">
        <v>489</v>
      </c>
      <c r="C246" s="4" t="s">
        <v>479</v>
      </c>
      <c r="D246" s="4">
        <v>13.47</v>
      </c>
      <c r="E246" s="29">
        <v>2022</v>
      </c>
      <c r="F246" s="25">
        <v>2.6440177252584935</v>
      </c>
      <c r="G246" s="25">
        <v>2.6753731343283582</v>
      </c>
      <c r="H246" s="25">
        <v>2.7170542635658914</v>
      </c>
      <c r="I246" s="25">
        <v>2.7267950963222418</v>
      </c>
      <c r="J246" s="25">
        <v>3.2336217552533992</v>
      </c>
      <c r="K246" s="25"/>
      <c r="L246" s="25"/>
      <c r="M246" s="25"/>
      <c r="N246" s="25"/>
      <c r="O246" s="25"/>
      <c r="P246" s="25"/>
      <c r="Q246" s="25"/>
    </row>
    <row r="247" spans="1:17" s="2" customFormat="1" ht="15">
      <c r="A247" s="4" t="s">
        <v>385</v>
      </c>
      <c r="B247" s="3" t="s">
        <v>490</v>
      </c>
      <c r="C247" s="4" t="s">
        <v>483</v>
      </c>
      <c r="D247" s="4">
        <v>11.31</v>
      </c>
      <c r="E247" s="29">
        <v>2023</v>
      </c>
      <c r="F247" s="25">
        <v>0</v>
      </c>
      <c r="G247" s="25">
        <v>0</v>
      </c>
      <c r="H247" s="25">
        <v>2.6909594095940959</v>
      </c>
      <c r="I247" s="25">
        <v>3.5753012048192772</v>
      </c>
      <c r="J247" s="25">
        <v>4.8015873015873014</v>
      </c>
      <c r="K247" s="25"/>
      <c r="L247" s="25"/>
      <c r="M247" s="25"/>
      <c r="N247" s="25"/>
      <c r="O247" s="25"/>
      <c r="P247" s="25"/>
      <c r="Q247" s="25"/>
    </row>
    <row r="248" spans="1:17" s="2" customFormat="1" ht="15">
      <c r="A248" s="4" t="s">
        <v>385</v>
      </c>
      <c r="B248" s="3" t="s">
        <v>491</v>
      </c>
      <c r="C248" s="4" t="s">
        <v>481</v>
      </c>
      <c r="D248" s="4">
        <v>14.98</v>
      </c>
      <c r="E248" s="29">
        <v>2023</v>
      </c>
      <c r="F248" s="25">
        <v>0</v>
      </c>
      <c r="G248" s="25">
        <v>0</v>
      </c>
      <c r="H248" s="25">
        <v>2.1666666666666665</v>
      </c>
      <c r="I248" s="25">
        <v>2.7021276595744679</v>
      </c>
      <c r="J248" s="25">
        <v>3.9085365853658538</v>
      </c>
      <c r="K248" s="25"/>
      <c r="L248" s="25"/>
      <c r="M248" s="25"/>
      <c r="N248" s="25"/>
      <c r="O248" s="25"/>
      <c r="P248" s="25"/>
      <c r="Q248" s="25"/>
    </row>
    <row r="249" spans="1:17" s="2" customFormat="1" ht="15">
      <c r="A249" s="4" t="s">
        <v>492</v>
      </c>
      <c r="B249" s="3" t="s">
        <v>493</v>
      </c>
      <c r="C249" s="4" t="s">
        <v>494</v>
      </c>
      <c r="D249" s="4">
        <v>1.45</v>
      </c>
      <c r="E249" s="29">
        <v>2022</v>
      </c>
      <c r="F249" s="25">
        <v>2.4157608695652173</v>
      </c>
      <c r="G249" s="25">
        <v>2.9367816091954024</v>
      </c>
      <c r="H249" s="25">
        <v>3.5736568457538995</v>
      </c>
      <c r="I249" s="25">
        <v>3.8281786941580758</v>
      </c>
      <c r="J249" s="25">
        <v>3.8436578171091447</v>
      </c>
      <c r="K249" s="25"/>
      <c r="L249" s="25"/>
      <c r="M249" s="25"/>
      <c r="N249" s="25"/>
      <c r="O249" s="25"/>
      <c r="P249" s="25"/>
      <c r="Q249" s="25"/>
    </row>
    <row r="250" spans="1:17" s="2" customFormat="1" ht="15">
      <c r="A250" s="4" t="s">
        <v>492</v>
      </c>
      <c r="B250" s="3" t="s">
        <v>495</v>
      </c>
      <c r="C250" s="4" t="s">
        <v>496</v>
      </c>
      <c r="D250" s="4">
        <v>18.670000000000002</v>
      </c>
      <c r="E250" s="29">
        <v>2022</v>
      </c>
      <c r="F250" s="25">
        <v>2.7042806328958666</v>
      </c>
      <c r="G250" s="25">
        <v>3.3188190314358539</v>
      </c>
      <c r="H250" s="25">
        <v>4.2737551641661229</v>
      </c>
      <c r="I250" s="25">
        <v>4.8208184346444183</v>
      </c>
      <c r="J250" s="25">
        <v>4.7184276554223583</v>
      </c>
      <c r="K250" s="25"/>
      <c r="L250" s="25"/>
      <c r="M250" s="25"/>
      <c r="N250" s="25"/>
      <c r="O250" s="25"/>
      <c r="P250" s="25"/>
      <c r="Q250" s="25"/>
    </row>
    <row r="251" spans="1:17" s="2" customFormat="1" ht="15">
      <c r="A251" s="4" t="s">
        <v>492</v>
      </c>
      <c r="B251" s="3" t="s">
        <v>497</v>
      </c>
      <c r="C251" s="4" t="s">
        <v>498</v>
      </c>
      <c r="D251" s="4">
        <v>19.27</v>
      </c>
      <c r="E251" s="29">
        <v>2023</v>
      </c>
      <c r="F251" s="25">
        <v>0</v>
      </c>
      <c r="G251" s="25">
        <v>0</v>
      </c>
      <c r="H251" s="25">
        <v>0</v>
      </c>
      <c r="I251" s="25">
        <v>3.1012145748987856</v>
      </c>
      <c r="J251" s="25">
        <v>4.1170033670033668</v>
      </c>
      <c r="K251" s="25"/>
      <c r="L251" s="25"/>
      <c r="M251" s="25"/>
      <c r="N251" s="25"/>
      <c r="O251" s="25"/>
      <c r="P251" s="25"/>
      <c r="Q251" s="25"/>
    </row>
    <row r="252" spans="1:17" s="2" customFormat="1" ht="15">
      <c r="A252" s="4" t="s">
        <v>492</v>
      </c>
      <c r="B252" s="3" t="s">
        <v>499</v>
      </c>
      <c r="C252" s="4" t="s">
        <v>500</v>
      </c>
      <c r="D252" s="4">
        <v>19.02</v>
      </c>
      <c r="E252" s="29">
        <v>2023</v>
      </c>
      <c r="F252" s="25">
        <v>0</v>
      </c>
      <c r="G252" s="25">
        <v>0</v>
      </c>
      <c r="H252" s="25">
        <v>0</v>
      </c>
      <c r="I252" s="25">
        <v>2.6333333333333333</v>
      </c>
      <c r="J252" s="25">
        <v>4.0088652482269502</v>
      </c>
      <c r="K252" s="25"/>
      <c r="L252" s="25"/>
      <c r="M252" s="25"/>
      <c r="N252" s="25"/>
      <c r="O252" s="25"/>
      <c r="P252" s="25"/>
      <c r="Q252" s="25"/>
    </row>
    <row r="253" spans="1:17" s="2" customFormat="1" ht="15">
      <c r="A253" s="4" t="s">
        <v>492</v>
      </c>
      <c r="B253" s="3" t="s">
        <v>501</v>
      </c>
      <c r="C253" s="4" t="s">
        <v>502</v>
      </c>
      <c r="D253" s="4">
        <v>18.45</v>
      </c>
      <c r="E253" s="29">
        <v>2023</v>
      </c>
      <c r="F253" s="25">
        <v>0</v>
      </c>
      <c r="G253" s="25">
        <v>0</v>
      </c>
      <c r="H253" s="25">
        <v>0</v>
      </c>
      <c r="I253" s="25">
        <v>2.6153846153846154</v>
      </c>
      <c r="J253" s="25">
        <v>4.2666666666666666</v>
      </c>
      <c r="K253" s="25"/>
      <c r="L253" s="25"/>
      <c r="M253" s="25"/>
      <c r="N253" s="25"/>
      <c r="O253" s="25"/>
      <c r="P253" s="25"/>
      <c r="Q253" s="25"/>
    </row>
    <row r="254" spans="1:17" s="2" customFormat="1" ht="15">
      <c r="A254" s="4" t="s">
        <v>492</v>
      </c>
      <c r="B254" s="3" t="s">
        <v>503</v>
      </c>
      <c r="C254" s="4" t="s">
        <v>504</v>
      </c>
      <c r="D254" s="4">
        <v>18.8</v>
      </c>
      <c r="E254" s="29">
        <v>2023</v>
      </c>
      <c r="F254" s="25">
        <v>0</v>
      </c>
      <c r="G254" s="25">
        <v>0</v>
      </c>
      <c r="H254" s="25">
        <v>0</v>
      </c>
      <c r="I254" s="25">
        <v>0</v>
      </c>
      <c r="J254" s="25">
        <v>4.7142857142857144</v>
      </c>
      <c r="K254" s="25"/>
      <c r="L254" s="25"/>
      <c r="M254" s="25"/>
      <c r="N254" s="25"/>
      <c r="O254" s="25"/>
      <c r="P254" s="25"/>
      <c r="Q254" s="25"/>
    </row>
    <row r="255" spans="1:17" s="2" customFormat="1" ht="15">
      <c r="A255" s="4" t="s">
        <v>492</v>
      </c>
      <c r="B255" s="3" t="s">
        <v>505</v>
      </c>
      <c r="C255" s="4" t="s">
        <v>506</v>
      </c>
      <c r="D255" s="4">
        <v>19.600000000000001</v>
      </c>
      <c r="E255" s="29">
        <v>2023</v>
      </c>
      <c r="F255" s="25">
        <v>0</v>
      </c>
      <c r="G255" s="25">
        <v>0</v>
      </c>
      <c r="H255" s="25">
        <v>0</v>
      </c>
      <c r="I255" s="25">
        <v>0</v>
      </c>
      <c r="J255" s="25">
        <v>0</v>
      </c>
      <c r="K255" s="25"/>
      <c r="L255" s="25"/>
      <c r="M255" s="25"/>
      <c r="N255" s="25"/>
      <c r="O255" s="25"/>
      <c r="P255" s="25"/>
      <c r="Q255" s="25"/>
    </row>
    <row r="256" spans="1:17" s="2" customFormat="1" ht="15">
      <c r="A256" s="4" t="s">
        <v>492</v>
      </c>
      <c r="B256" s="3" t="s">
        <v>507</v>
      </c>
      <c r="C256" s="4" t="s">
        <v>508</v>
      </c>
      <c r="D256" s="4">
        <v>19.34</v>
      </c>
      <c r="E256" s="29">
        <v>2023</v>
      </c>
      <c r="F256" s="25">
        <v>0</v>
      </c>
      <c r="G256" s="25">
        <v>0</v>
      </c>
      <c r="H256" s="25">
        <v>0</v>
      </c>
      <c r="I256" s="25">
        <v>0</v>
      </c>
      <c r="J256" s="25">
        <v>0</v>
      </c>
      <c r="K256" s="25"/>
      <c r="L256" s="25"/>
      <c r="M256" s="25"/>
      <c r="N256" s="25"/>
      <c r="O256" s="25"/>
      <c r="P256" s="25"/>
      <c r="Q256" s="25"/>
    </row>
    <row r="257" spans="1:17" s="2" customFormat="1" ht="15">
      <c r="A257" s="4" t="s">
        <v>492</v>
      </c>
      <c r="B257" s="3" t="s">
        <v>509</v>
      </c>
      <c r="C257" s="4" t="s">
        <v>510</v>
      </c>
      <c r="D257" s="4">
        <v>17.34</v>
      </c>
      <c r="E257" s="29">
        <v>2023</v>
      </c>
      <c r="F257" s="25">
        <v>0</v>
      </c>
      <c r="G257" s="25">
        <v>0</v>
      </c>
      <c r="H257" s="25">
        <v>0</v>
      </c>
      <c r="I257" s="25">
        <v>0</v>
      </c>
      <c r="J257" s="25">
        <v>0</v>
      </c>
      <c r="K257" s="25"/>
      <c r="L257" s="25"/>
      <c r="M257" s="25"/>
      <c r="N257" s="25"/>
      <c r="O257" s="25"/>
      <c r="P257" s="25"/>
      <c r="Q257" s="25"/>
    </row>
    <row r="258" spans="1:17" s="2" customFormat="1" ht="15">
      <c r="A258" s="4" t="s">
        <v>492</v>
      </c>
      <c r="B258" s="3" t="s">
        <v>511</v>
      </c>
      <c r="C258" s="4" t="s">
        <v>512</v>
      </c>
      <c r="D258" s="4">
        <v>13.29</v>
      </c>
      <c r="E258" s="29">
        <v>2023</v>
      </c>
      <c r="F258" s="25">
        <v>0</v>
      </c>
      <c r="G258" s="25">
        <v>0</v>
      </c>
      <c r="H258" s="25">
        <v>0</v>
      </c>
      <c r="I258" s="25">
        <v>0</v>
      </c>
      <c r="J258" s="25">
        <v>0</v>
      </c>
      <c r="K258" s="25"/>
      <c r="L258" s="25"/>
      <c r="M258" s="25"/>
      <c r="N258" s="25"/>
      <c r="O258" s="25"/>
      <c r="P258" s="25"/>
      <c r="Q258" s="25"/>
    </row>
    <row r="259" spans="1:17" s="2" customFormat="1" ht="15">
      <c r="A259" s="4" t="s">
        <v>492</v>
      </c>
      <c r="B259" s="3" t="s">
        <v>513</v>
      </c>
      <c r="C259" s="4" t="s">
        <v>514</v>
      </c>
      <c r="D259" s="4">
        <v>10.130000000000001</v>
      </c>
      <c r="E259" s="29">
        <v>2023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/>
      <c r="L259" s="25"/>
      <c r="M259" s="25"/>
      <c r="N259" s="25"/>
      <c r="O259" s="25"/>
      <c r="P259" s="25"/>
      <c r="Q259" s="25"/>
    </row>
    <row r="260" spans="1:17" s="2" customFormat="1" ht="15">
      <c r="A260" s="4" t="s">
        <v>492</v>
      </c>
      <c r="B260" s="3" t="s">
        <v>515</v>
      </c>
      <c r="C260" s="4" t="s">
        <v>516</v>
      </c>
      <c r="D260" s="4">
        <v>7.46</v>
      </c>
      <c r="E260" s="29">
        <v>2023</v>
      </c>
      <c r="F260" s="25">
        <v>0</v>
      </c>
      <c r="G260" s="25">
        <v>0</v>
      </c>
      <c r="H260" s="25">
        <v>0</v>
      </c>
      <c r="I260" s="25">
        <v>0</v>
      </c>
      <c r="J260" s="25">
        <v>0</v>
      </c>
      <c r="K260" s="25"/>
      <c r="L260" s="25"/>
      <c r="M260" s="25"/>
      <c r="N260" s="25"/>
      <c r="O260" s="25"/>
      <c r="P260" s="25"/>
      <c r="Q260" s="25"/>
    </row>
    <row r="261" spans="1:17" s="2" customFormat="1" ht="15">
      <c r="A261" s="4" t="s">
        <v>492</v>
      </c>
      <c r="B261" s="3" t="s">
        <v>517</v>
      </c>
      <c r="C261" s="4" t="s">
        <v>518</v>
      </c>
      <c r="D261" s="4">
        <v>1.33</v>
      </c>
      <c r="E261" s="29">
        <v>2024</v>
      </c>
      <c r="F261" s="25">
        <v>0</v>
      </c>
      <c r="G261" s="25">
        <v>0</v>
      </c>
      <c r="H261" s="25">
        <v>0</v>
      </c>
      <c r="I261" s="25">
        <v>0</v>
      </c>
      <c r="J261" s="25">
        <v>0</v>
      </c>
      <c r="K261" s="25"/>
      <c r="L261" s="25"/>
      <c r="M261" s="25"/>
      <c r="N261" s="25"/>
      <c r="O261" s="25"/>
      <c r="P261" s="25"/>
      <c r="Q261" s="25"/>
    </row>
    <row r="262" spans="1:17" s="2" customFormat="1" ht="15">
      <c r="A262" s="4" t="s">
        <v>492</v>
      </c>
      <c r="B262" s="3" t="s">
        <v>519</v>
      </c>
      <c r="C262" s="4" t="s">
        <v>520</v>
      </c>
      <c r="D262" s="4">
        <v>9.07</v>
      </c>
      <c r="E262" s="29">
        <v>2023</v>
      </c>
      <c r="F262" s="25">
        <v>0</v>
      </c>
      <c r="G262" s="25">
        <v>0</v>
      </c>
      <c r="H262" s="25">
        <v>0</v>
      </c>
      <c r="I262" s="25">
        <v>3.96</v>
      </c>
      <c r="J262" s="25">
        <v>3.6312849162011172</v>
      </c>
      <c r="K262" s="25"/>
      <c r="L262" s="25"/>
      <c r="M262" s="25"/>
      <c r="N262" s="25"/>
      <c r="O262" s="25"/>
      <c r="P262" s="25"/>
      <c r="Q262" s="25"/>
    </row>
    <row r="263" spans="1:17" s="2" customFormat="1" ht="15">
      <c r="A263" s="4" t="s">
        <v>492</v>
      </c>
      <c r="B263" s="3" t="s">
        <v>521</v>
      </c>
      <c r="C263" s="4" t="s">
        <v>522</v>
      </c>
      <c r="D263" s="4">
        <v>0.5</v>
      </c>
      <c r="E263" s="29">
        <v>2022</v>
      </c>
      <c r="F263" s="25">
        <v>4.1928571428571431</v>
      </c>
      <c r="G263" s="25">
        <v>5.5353535353535355</v>
      </c>
      <c r="H263" s="25">
        <v>6.208333333333333</v>
      </c>
      <c r="I263" s="25">
        <v>8.4871794871794872</v>
      </c>
      <c r="J263" s="25">
        <v>7.1896551724137927</v>
      </c>
      <c r="K263" s="25"/>
      <c r="L263" s="25"/>
      <c r="M263" s="25"/>
      <c r="N263" s="25"/>
      <c r="O263" s="25"/>
      <c r="P263" s="25"/>
      <c r="Q263" s="25"/>
    </row>
    <row r="264" spans="1:17" s="2" customFormat="1" ht="15">
      <c r="A264" s="4" t="s">
        <v>492</v>
      </c>
      <c r="B264" s="3" t="s">
        <v>523</v>
      </c>
      <c r="C264" s="4" t="s">
        <v>524</v>
      </c>
      <c r="D264" s="4">
        <v>2.0299999999999998</v>
      </c>
      <c r="E264" s="29">
        <v>2022</v>
      </c>
      <c r="F264" s="25">
        <v>3.579520697167756</v>
      </c>
      <c r="G264" s="25">
        <v>4.461916461916462</v>
      </c>
      <c r="H264" s="25">
        <v>5.3043478260869561</v>
      </c>
      <c r="I264" s="25">
        <v>4.4769475357710649</v>
      </c>
      <c r="J264" s="25">
        <v>3.8684210526315788</v>
      </c>
      <c r="K264" s="25"/>
      <c r="L264" s="25"/>
      <c r="M264" s="25"/>
      <c r="N264" s="25"/>
      <c r="O264" s="25"/>
      <c r="P264" s="25"/>
      <c r="Q264" s="25"/>
    </row>
    <row r="265" spans="1:17" s="2" customFormat="1" ht="15">
      <c r="A265" s="4" t="s">
        <v>492</v>
      </c>
      <c r="B265" s="3" t="s">
        <v>525</v>
      </c>
      <c r="C265" s="4" t="s">
        <v>526</v>
      </c>
      <c r="D265" s="4">
        <v>5.58</v>
      </c>
      <c r="E265" s="29">
        <v>2022</v>
      </c>
      <c r="F265" s="25">
        <v>3.15625</v>
      </c>
      <c r="G265" s="25">
        <v>3.6449579831932772</v>
      </c>
      <c r="H265" s="25">
        <v>4.2140522875816995</v>
      </c>
      <c r="I265" s="25">
        <v>4.1226611226611229</v>
      </c>
      <c r="J265" s="25">
        <v>3.6877523553162854</v>
      </c>
      <c r="K265" s="25"/>
      <c r="L265" s="25"/>
      <c r="M265" s="25"/>
      <c r="N265" s="25"/>
      <c r="O265" s="25"/>
      <c r="P265" s="25"/>
      <c r="Q265" s="25"/>
    </row>
    <row r="266" spans="1:17" s="2" customFormat="1" ht="15">
      <c r="A266" s="4" t="s">
        <v>492</v>
      </c>
      <c r="B266" s="3" t="s">
        <v>527</v>
      </c>
      <c r="C266" s="4" t="s">
        <v>528</v>
      </c>
      <c r="D266" s="4">
        <v>16.440000000000001</v>
      </c>
      <c r="E266" s="29">
        <v>2023</v>
      </c>
      <c r="F266" s="25">
        <v>2.9925531914893617</v>
      </c>
      <c r="G266" s="25">
        <v>3.74173495337666</v>
      </c>
      <c r="H266" s="25">
        <v>4.090144546649146</v>
      </c>
      <c r="I266" s="25">
        <v>4.4089940828402368</v>
      </c>
      <c r="J266" s="25">
        <v>4.2574803149606302</v>
      </c>
      <c r="K266" s="25"/>
      <c r="L266" s="25"/>
      <c r="M266" s="25"/>
      <c r="N266" s="25"/>
      <c r="O266" s="25"/>
      <c r="P266" s="25"/>
      <c r="Q266" s="25"/>
    </row>
    <row r="267" spans="1:17" s="2" customFormat="1" ht="15">
      <c r="A267" s="4" t="s">
        <v>492</v>
      </c>
      <c r="B267" s="3" t="s">
        <v>529</v>
      </c>
      <c r="C267" s="4" t="s">
        <v>530</v>
      </c>
      <c r="D267" s="4">
        <v>19.12</v>
      </c>
      <c r="E267" s="29">
        <v>2023</v>
      </c>
      <c r="F267" s="25">
        <v>2.3925044315016462</v>
      </c>
      <c r="G267" s="25">
        <v>3.0636198390028566</v>
      </c>
      <c r="H267" s="25">
        <v>3.2134622536258832</v>
      </c>
      <c r="I267" s="25">
        <v>3.4477941176470588</v>
      </c>
      <c r="J267" s="25">
        <v>3.5452392231170062</v>
      </c>
      <c r="K267" s="25"/>
      <c r="L267" s="25"/>
      <c r="M267" s="25"/>
      <c r="N267" s="25"/>
      <c r="O267" s="25"/>
      <c r="P267" s="25"/>
      <c r="Q267" s="25"/>
    </row>
    <row r="268" spans="1:17" s="2" customFormat="1" ht="15">
      <c r="A268" s="4" t="s">
        <v>492</v>
      </c>
      <c r="B268" s="3" t="s">
        <v>531</v>
      </c>
      <c r="C268" s="4" t="s">
        <v>532</v>
      </c>
      <c r="D268" s="4">
        <v>18.53</v>
      </c>
      <c r="E268" s="29">
        <v>2022</v>
      </c>
      <c r="F268" s="25">
        <v>2.5213157894736842</v>
      </c>
      <c r="G268" s="25">
        <v>3.0961669622152503</v>
      </c>
      <c r="H268" s="25">
        <v>4.312247983870968</v>
      </c>
      <c r="I268" s="25">
        <v>4.3952143044964505</v>
      </c>
      <c r="J268" s="25">
        <v>4.2811332503113322</v>
      </c>
      <c r="K268" s="25"/>
      <c r="L268" s="25"/>
      <c r="M268" s="25"/>
      <c r="N268" s="25"/>
      <c r="O268" s="25"/>
      <c r="P268" s="25"/>
      <c r="Q268" s="25"/>
    </row>
    <row r="269" spans="1:17" s="2" customFormat="1" ht="15">
      <c r="A269" s="4" t="s">
        <v>492</v>
      </c>
      <c r="B269" s="3" t="s">
        <v>533</v>
      </c>
      <c r="C269" s="4" t="s">
        <v>534</v>
      </c>
      <c r="D269" s="4">
        <v>18.170000000000002</v>
      </c>
      <c r="E269" s="29">
        <v>2022</v>
      </c>
      <c r="F269" s="25">
        <v>2.7889888133362581</v>
      </c>
      <c r="G269" s="25">
        <v>3.0460627895007719</v>
      </c>
      <c r="H269" s="25">
        <v>3.9122641509433964</v>
      </c>
      <c r="I269" s="25">
        <v>4.1675710181934251</v>
      </c>
      <c r="J269" s="25">
        <v>3.8513513513513513</v>
      </c>
      <c r="K269" s="25"/>
      <c r="L269" s="25"/>
      <c r="M269" s="25"/>
      <c r="N269" s="25"/>
      <c r="O269" s="25"/>
      <c r="P269" s="25"/>
      <c r="Q269" s="25"/>
    </row>
    <row r="270" spans="1:17" s="2" customFormat="1" ht="15">
      <c r="A270" s="4" t="s">
        <v>492</v>
      </c>
      <c r="B270" s="3" t="s">
        <v>535</v>
      </c>
      <c r="C270" s="4" t="s">
        <v>536</v>
      </c>
      <c r="D270" s="4">
        <v>19.91</v>
      </c>
      <c r="E270" s="29">
        <v>2023</v>
      </c>
      <c r="F270" s="25">
        <v>2.9655172413793105</v>
      </c>
      <c r="G270" s="25">
        <v>2.911144578313253</v>
      </c>
      <c r="H270" s="25">
        <v>3.0863055922501101</v>
      </c>
      <c r="I270" s="25">
        <v>3.330540037243948</v>
      </c>
      <c r="J270" s="25">
        <v>3.5267229254571029</v>
      </c>
      <c r="K270" s="25"/>
      <c r="L270" s="25"/>
      <c r="M270" s="25"/>
      <c r="N270" s="25"/>
      <c r="O270" s="25"/>
      <c r="P270" s="25"/>
      <c r="Q270" s="25"/>
    </row>
    <row r="271" spans="1:17" s="2" customFormat="1" ht="15">
      <c r="A271" s="4" t="s">
        <v>492</v>
      </c>
      <c r="B271" s="3" t="s">
        <v>537</v>
      </c>
      <c r="C271" s="4" t="s">
        <v>538</v>
      </c>
      <c r="D271" s="4">
        <v>18.739999999999998</v>
      </c>
      <c r="E271" s="29">
        <v>2023</v>
      </c>
      <c r="F271" s="25">
        <v>0</v>
      </c>
      <c r="G271" s="25">
        <v>0</v>
      </c>
      <c r="H271" s="25">
        <v>0</v>
      </c>
      <c r="I271" s="25">
        <v>0</v>
      </c>
      <c r="J271" s="25">
        <v>0</v>
      </c>
      <c r="K271" s="25"/>
      <c r="L271" s="25"/>
      <c r="M271" s="25"/>
      <c r="N271" s="25"/>
      <c r="O271" s="25"/>
      <c r="P271" s="25"/>
      <c r="Q271" s="25"/>
    </row>
    <row r="272" spans="1:17" s="2" customFormat="1" ht="15">
      <c r="A272" s="4" t="s">
        <v>492</v>
      </c>
      <c r="B272" s="3" t="s">
        <v>539</v>
      </c>
      <c r="C272" s="4" t="s">
        <v>540</v>
      </c>
      <c r="D272" s="4">
        <v>18.75</v>
      </c>
      <c r="E272" s="29">
        <v>2023</v>
      </c>
      <c r="F272" s="25">
        <v>0</v>
      </c>
      <c r="G272" s="25">
        <v>0</v>
      </c>
      <c r="H272" s="25">
        <v>0</v>
      </c>
      <c r="I272" s="25">
        <v>0</v>
      </c>
      <c r="J272" s="25">
        <v>0</v>
      </c>
      <c r="K272" s="25"/>
      <c r="L272" s="25"/>
      <c r="M272" s="25"/>
      <c r="N272" s="25"/>
      <c r="O272" s="25"/>
      <c r="P272" s="25"/>
      <c r="Q272" s="25"/>
    </row>
    <row r="273" spans="1:17" s="2" customFormat="1" ht="15">
      <c r="A273" s="4" t="s">
        <v>492</v>
      </c>
      <c r="B273" s="3" t="s">
        <v>541</v>
      </c>
      <c r="C273" s="4" t="s">
        <v>542</v>
      </c>
      <c r="D273" s="4">
        <v>18.7</v>
      </c>
      <c r="E273" s="29">
        <v>2023</v>
      </c>
      <c r="F273" s="25">
        <v>0</v>
      </c>
      <c r="G273" s="25">
        <v>0</v>
      </c>
      <c r="H273" s="25">
        <v>0</v>
      </c>
      <c r="I273" s="25">
        <v>0</v>
      </c>
      <c r="J273" s="25">
        <v>0</v>
      </c>
      <c r="K273" s="25"/>
      <c r="L273" s="25"/>
      <c r="M273" s="25"/>
      <c r="N273" s="25"/>
      <c r="O273" s="25"/>
      <c r="P273" s="25"/>
      <c r="Q273" s="25"/>
    </row>
    <row r="274" spans="1:17" s="2" customFormat="1" ht="15">
      <c r="A274" s="4" t="s">
        <v>492</v>
      </c>
      <c r="B274" s="3" t="s">
        <v>543</v>
      </c>
      <c r="C274" s="4" t="s">
        <v>544</v>
      </c>
      <c r="D274" s="4">
        <v>9.2200000000000006</v>
      </c>
      <c r="E274" s="29">
        <v>2024</v>
      </c>
      <c r="F274" s="25">
        <v>0</v>
      </c>
      <c r="G274" s="25">
        <v>0</v>
      </c>
      <c r="H274" s="25">
        <v>0</v>
      </c>
      <c r="I274" s="25">
        <v>0</v>
      </c>
      <c r="J274" s="25">
        <v>0</v>
      </c>
      <c r="K274" s="25"/>
      <c r="L274" s="25"/>
      <c r="M274" s="25"/>
      <c r="N274" s="25"/>
      <c r="O274" s="25"/>
      <c r="P274" s="25"/>
      <c r="Q274" s="25"/>
    </row>
    <row r="275" spans="1:17" s="2" customFormat="1" ht="15">
      <c r="A275" s="4" t="s">
        <v>492</v>
      </c>
      <c r="B275" s="3" t="s">
        <v>545</v>
      </c>
      <c r="C275" s="4" t="s">
        <v>546</v>
      </c>
      <c r="D275" s="4">
        <v>4.41</v>
      </c>
      <c r="E275" s="29">
        <v>2024</v>
      </c>
      <c r="F275" s="25">
        <v>0</v>
      </c>
      <c r="G275" s="25">
        <v>0</v>
      </c>
      <c r="H275" s="25">
        <v>0</v>
      </c>
      <c r="I275" s="25">
        <v>0</v>
      </c>
      <c r="J275" s="25">
        <v>0</v>
      </c>
      <c r="K275" s="25"/>
      <c r="L275" s="25"/>
      <c r="M275" s="25"/>
      <c r="N275" s="25"/>
      <c r="O275" s="25"/>
      <c r="P275" s="25"/>
      <c r="Q275" s="25"/>
    </row>
    <row r="276" spans="1:17" s="2" customFormat="1" ht="15">
      <c r="A276" s="4" t="s">
        <v>492</v>
      </c>
      <c r="B276" s="3" t="s">
        <v>547</v>
      </c>
      <c r="C276" s="4" t="s">
        <v>548</v>
      </c>
      <c r="D276" s="4">
        <v>2.62</v>
      </c>
      <c r="E276" s="29">
        <v>2024</v>
      </c>
      <c r="F276" s="25">
        <v>0</v>
      </c>
      <c r="G276" s="25">
        <v>0</v>
      </c>
      <c r="H276" s="25">
        <v>0</v>
      </c>
      <c r="I276" s="25">
        <v>0</v>
      </c>
      <c r="J276" s="25">
        <v>0</v>
      </c>
      <c r="K276" s="25"/>
      <c r="L276" s="25"/>
      <c r="M276" s="25"/>
      <c r="N276" s="25"/>
      <c r="O276" s="25"/>
      <c r="P276" s="25"/>
      <c r="Q276" s="25"/>
    </row>
    <row r="277" spans="1:17" s="2" customFormat="1" ht="15">
      <c r="A277" s="4" t="s">
        <v>492</v>
      </c>
      <c r="B277" s="3" t="s">
        <v>549</v>
      </c>
      <c r="C277" s="4" t="s">
        <v>550</v>
      </c>
      <c r="D277" s="4">
        <v>3.51</v>
      </c>
      <c r="E277" s="29">
        <v>2024</v>
      </c>
      <c r="F277" s="25">
        <v>0</v>
      </c>
      <c r="G277" s="25">
        <v>0</v>
      </c>
      <c r="H277" s="25">
        <v>0</v>
      </c>
      <c r="I277" s="25">
        <v>0</v>
      </c>
      <c r="J277" s="25">
        <v>0</v>
      </c>
      <c r="K277" s="25"/>
      <c r="L277" s="25"/>
      <c r="M277" s="25"/>
      <c r="N277" s="25"/>
      <c r="O277" s="25"/>
      <c r="P277" s="25"/>
      <c r="Q277" s="25"/>
    </row>
    <row r="278" spans="1:17" s="2" customFormat="1" ht="15">
      <c r="A278" s="4" t="s">
        <v>492</v>
      </c>
      <c r="B278" s="3" t="s">
        <v>551</v>
      </c>
      <c r="C278" s="4" t="s">
        <v>552</v>
      </c>
      <c r="D278" s="4">
        <v>3.19</v>
      </c>
      <c r="E278" s="29">
        <v>2024</v>
      </c>
      <c r="F278" s="25">
        <v>0</v>
      </c>
      <c r="G278" s="25">
        <v>0</v>
      </c>
      <c r="H278" s="25">
        <v>0</v>
      </c>
      <c r="I278" s="25">
        <v>0</v>
      </c>
      <c r="J278" s="25">
        <v>0</v>
      </c>
      <c r="K278" s="25"/>
      <c r="L278" s="25"/>
      <c r="M278" s="25"/>
      <c r="N278" s="25"/>
      <c r="O278" s="25"/>
      <c r="P278" s="25"/>
      <c r="Q278" s="25"/>
    </row>
    <row r="279" spans="1:17" s="2" customFormat="1" ht="15">
      <c r="A279" s="4" t="s">
        <v>492</v>
      </c>
      <c r="B279" s="3" t="s">
        <v>553</v>
      </c>
      <c r="C279" s="4" t="s">
        <v>554</v>
      </c>
      <c r="D279" s="4">
        <v>4.62</v>
      </c>
      <c r="E279" s="29">
        <v>2024</v>
      </c>
      <c r="F279" s="25">
        <v>0</v>
      </c>
      <c r="G279" s="25">
        <v>0</v>
      </c>
      <c r="H279" s="25">
        <v>0</v>
      </c>
      <c r="I279" s="25">
        <v>0</v>
      </c>
      <c r="J279" s="25">
        <v>0</v>
      </c>
      <c r="K279" s="25"/>
      <c r="L279" s="25"/>
      <c r="M279" s="25"/>
      <c r="N279" s="25"/>
      <c r="O279" s="25"/>
      <c r="P279" s="25"/>
      <c r="Q279" s="25"/>
    </row>
    <row r="280" spans="1:17" s="2" customFormat="1" ht="15">
      <c r="A280" s="4" t="s">
        <v>492</v>
      </c>
      <c r="B280" s="3" t="s">
        <v>555</v>
      </c>
      <c r="C280" s="4" t="s">
        <v>556</v>
      </c>
      <c r="D280" s="4">
        <v>4.41</v>
      </c>
      <c r="E280" s="29">
        <v>2024</v>
      </c>
      <c r="F280" s="25">
        <v>0</v>
      </c>
      <c r="G280" s="25">
        <v>0</v>
      </c>
      <c r="H280" s="25">
        <v>0</v>
      </c>
      <c r="I280" s="25">
        <v>0</v>
      </c>
      <c r="J280" s="25">
        <v>0</v>
      </c>
      <c r="K280" s="25"/>
      <c r="L280" s="25"/>
      <c r="M280" s="25"/>
      <c r="N280" s="25"/>
      <c r="O280" s="25"/>
      <c r="P280" s="25"/>
      <c r="Q280" s="25"/>
    </row>
    <row r="281" spans="1:17" s="2" customFormat="1" ht="15">
      <c r="A281" s="4" t="s">
        <v>492</v>
      </c>
      <c r="B281" s="3" t="s">
        <v>557</v>
      </c>
      <c r="C281" s="4" t="s">
        <v>558</v>
      </c>
      <c r="D281" s="4">
        <v>1.91</v>
      </c>
      <c r="E281" s="29">
        <v>2024</v>
      </c>
      <c r="F281" s="25">
        <v>0</v>
      </c>
      <c r="G281" s="25">
        <v>0</v>
      </c>
      <c r="H281" s="25">
        <v>0</v>
      </c>
      <c r="I281" s="25">
        <v>0</v>
      </c>
      <c r="J281" s="25">
        <v>0</v>
      </c>
      <c r="K281" s="25"/>
      <c r="L281" s="25"/>
      <c r="M281" s="25"/>
      <c r="N281" s="25"/>
      <c r="O281" s="25"/>
      <c r="P281" s="25"/>
      <c r="Q281" s="25"/>
    </row>
    <row r="282" spans="1:17" s="2" customFormat="1" ht="15">
      <c r="A282" s="4" t="s">
        <v>492</v>
      </c>
      <c r="B282" s="3" t="s">
        <v>559</v>
      </c>
      <c r="C282" s="4" t="s">
        <v>560</v>
      </c>
      <c r="D282" s="4">
        <v>3.6</v>
      </c>
      <c r="E282" s="29">
        <v>2024</v>
      </c>
      <c r="F282" s="25">
        <v>0</v>
      </c>
      <c r="G282" s="25">
        <v>0</v>
      </c>
      <c r="H282" s="25">
        <v>0</v>
      </c>
      <c r="I282" s="25">
        <v>0</v>
      </c>
      <c r="J282" s="25">
        <v>0</v>
      </c>
      <c r="K282" s="25"/>
      <c r="L282" s="25"/>
      <c r="M282" s="25"/>
      <c r="N282" s="25"/>
      <c r="O282" s="25"/>
      <c r="P282" s="25"/>
      <c r="Q282" s="25"/>
    </row>
    <row r="283" spans="1:17" s="2" customFormat="1" ht="15">
      <c r="A283" s="4" t="s">
        <v>492</v>
      </c>
      <c r="B283" s="3" t="s">
        <v>561</v>
      </c>
      <c r="C283" s="4" t="s">
        <v>562</v>
      </c>
      <c r="D283" s="4">
        <v>0.86</v>
      </c>
      <c r="E283" s="29">
        <v>2024</v>
      </c>
      <c r="F283" s="25">
        <v>0</v>
      </c>
      <c r="G283" s="25">
        <v>0</v>
      </c>
      <c r="H283" s="25">
        <v>0</v>
      </c>
      <c r="I283" s="25">
        <v>0</v>
      </c>
      <c r="J283" s="25">
        <v>0</v>
      </c>
      <c r="K283" s="25"/>
      <c r="L283" s="25"/>
      <c r="M283" s="25"/>
      <c r="N283" s="25"/>
      <c r="O283" s="25"/>
      <c r="P283" s="25"/>
      <c r="Q283" s="25"/>
    </row>
    <row r="284" spans="1:17" s="2" customFormat="1" ht="15">
      <c r="A284" s="4" t="s">
        <v>492</v>
      </c>
      <c r="B284" s="3" t="s">
        <v>563</v>
      </c>
      <c r="C284" s="4" t="s">
        <v>564</v>
      </c>
      <c r="D284" s="4">
        <v>5.05</v>
      </c>
      <c r="E284" s="29">
        <v>2023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/>
      <c r="L284" s="25"/>
      <c r="M284" s="25"/>
      <c r="N284" s="25"/>
      <c r="O284" s="25"/>
      <c r="P284" s="25"/>
      <c r="Q284" s="25"/>
    </row>
    <row r="287" spans="1:17">
      <c r="E287" s="16"/>
    </row>
    <row r="288" spans="1:17">
      <c r="E288" s="16"/>
    </row>
    <row r="289" spans="5:5">
      <c r="E289" s="16"/>
    </row>
  </sheetData>
  <printOptions horizontalCentered="1"/>
  <pageMargins left="0" right="0" top="3.9370078740157501E-2" bottom="0" header="0.118110236220472" footer="0.118110236220472"/>
  <pageSetup paperSize="1000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tbs</vt:lpstr>
      <vt:lpstr>tonase</vt:lpstr>
      <vt:lpstr>yph</vt:lpstr>
      <vt:lpstr>brondol</vt:lpstr>
      <vt:lpstr>bjr</vt:lpstr>
      <vt:lpstr>bjr!Print_Titles</vt:lpstr>
      <vt:lpstr>brondol!Print_Titles</vt:lpstr>
      <vt:lpstr>tbs!Print_Titles</vt:lpstr>
      <vt:lpstr>tonase!Print_Titles</vt:lpstr>
      <vt:lpstr>yph!Print_Titles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Listio no</dc:creator>
  <cp:lastModifiedBy>Listio no</cp:lastModifiedBy>
  <dcterms:created xsi:type="dcterms:W3CDTF">2026-02-14T02:42:21Z</dcterms:created>
  <dcterms:modified xsi:type="dcterms:W3CDTF">2026-02-23T03:28:32Z</dcterms:modified>
</cp:coreProperties>
</file>